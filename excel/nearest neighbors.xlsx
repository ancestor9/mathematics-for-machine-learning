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"/>
    </mc:Choice>
  </mc:AlternateContent>
  <xr:revisionPtr revIDLastSave="0" documentId="8_{46FED02E-DC9D-4CDF-A368-A61599AFF0BA}" xr6:coauthVersionLast="47" xr6:coauthVersionMax="47" xr10:uidLastSave="{00000000-0000-0000-0000-000000000000}"/>
  <bookViews>
    <workbookView xWindow="-108" yWindow="-108" windowWidth="23256" windowHeight="12456" xr2:uid="{BBD8BA83-591E-43D0-A834-ACCDA5BE4AE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E35" i="1"/>
  <c r="G35" i="1" s="1"/>
  <c r="H35" i="1" s="1"/>
  <c r="F34" i="1"/>
  <c r="E34" i="1"/>
  <c r="G34" i="1" s="1"/>
  <c r="H34" i="1" s="1"/>
  <c r="F33" i="1"/>
  <c r="E33" i="1"/>
  <c r="G33" i="1" s="1"/>
  <c r="H33" i="1" s="1"/>
  <c r="F32" i="1"/>
  <c r="E32" i="1"/>
  <c r="G32" i="1" s="1"/>
  <c r="H32" i="1" s="1"/>
  <c r="F31" i="1"/>
  <c r="E31" i="1"/>
  <c r="G31" i="1" s="1"/>
  <c r="H31" i="1" s="1"/>
  <c r="F30" i="1"/>
  <c r="E30" i="1"/>
  <c r="G30" i="1" s="1"/>
  <c r="H30" i="1" s="1"/>
  <c r="F29" i="1"/>
  <c r="E29" i="1"/>
  <c r="G29" i="1" s="1"/>
  <c r="H29" i="1" s="1"/>
  <c r="F28" i="1"/>
  <c r="E28" i="1"/>
  <c r="G28" i="1" s="1"/>
  <c r="H28" i="1" s="1"/>
  <c r="F27" i="1"/>
  <c r="E27" i="1"/>
  <c r="G27" i="1" s="1"/>
  <c r="H27" i="1" s="1"/>
  <c r="L26" i="1"/>
  <c r="J26" i="1"/>
  <c r="G26" i="1"/>
  <c r="H26" i="1" s="1"/>
  <c r="F26" i="1"/>
  <c r="E26" i="1"/>
  <c r="D17" i="1"/>
  <c r="C17" i="1"/>
  <c r="E17" i="1" s="1"/>
  <c r="F17" i="1" s="1"/>
</calcChain>
</file>

<file path=xl/sharedStrings.xml><?xml version="1.0" encoding="utf-8"?>
<sst xmlns="http://schemas.openxmlformats.org/spreadsheetml/2006/main" count="39" uniqueCount="18">
  <si>
    <t>K-Nearest Neighbors</t>
  </si>
  <si>
    <t>Dataset</t>
  </si>
  <si>
    <t>http://vision.stanford.edu/teaching/cs231n-demos/knn/</t>
  </si>
  <si>
    <t>X1</t>
  </si>
  <si>
    <t>X2</t>
  </si>
  <si>
    <t>Y</t>
  </si>
  <si>
    <t>Euclidean Distance</t>
  </si>
  <si>
    <t>(X1-X1)^2</t>
  </si>
  <si>
    <t>(x2-X2)^2</t>
  </si>
  <si>
    <t>Sum</t>
  </si>
  <si>
    <t>Distance</t>
  </si>
  <si>
    <t>New Instance</t>
  </si>
  <si>
    <t>?</t>
  </si>
  <si>
    <t>Prediction</t>
  </si>
  <si>
    <t>Instance</t>
  </si>
  <si>
    <t>3 Neighbours</t>
  </si>
  <si>
    <t>5 Neighbours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</si>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</sst>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>
    <font>
      <sz val="11"/>
      <color theme="1"/>
      <name val="맑은 고딕"/>
      <family val="2"/>
      <charset val="129"/>
      <scheme val="minor"/>
    </font>
    <font>
      <b/>
      <sz val="10"/>
      <color theme="1"/>
      <name val="Verdana"/>
      <family val="2"/>
    </font>
    <font>
      <sz val="8"/>
      <name val="맑은 고딕"/>
      <family val="2"/>
      <charset val="129"/>
      <scheme val="minor"/>
    </font>
    <font>
      <sz val="10"/>
      <color theme="1"/>
      <name val="Verdana"/>
      <family val="2"/>
    </font>
    <font>
      <sz val="10"/>
      <color theme="1"/>
      <name val="맑은 고딕"/>
      <family val="2"/>
      <scheme val="minor"/>
    </font>
    <font>
      <u/>
      <sz val="9"/>
      <color rgb="FF000000"/>
      <name val="&quot;Google Sans&quot;"/>
    </font>
    <font>
      <b/>
      <sz val="10"/>
      <color rgb="FFFFFFFF"/>
      <name val="Verdana"/>
      <family val="2"/>
    </font>
    <font>
      <b/>
      <sz val="10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/>
    <xf numFmtId="0" fontId="1" fillId="0" borderId="1" xfId="0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[1]KNN_classification!$B$3</c:f>
              <c:strCache>
                <c:ptCount val="1"/>
                <c:pt idx="0">
                  <c:v>X2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[1]KNN_classification!$A$4:$A$13</c:f>
              <c:numCache>
                <c:formatCode>0.000</c:formatCode>
                <c:ptCount val="10"/>
                <c:pt idx="0">
                  <c:v>3.3935332100000002</c:v>
                </c:pt>
                <c:pt idx="1">
                  <c:v>3.1100734800000001</c:v>
                </c:pt>
                <c:pt idx="2">
                  <c:v>1.34380883</c:v>
                </c:pt>
                <c:pt idx="3">
                  <c:v>3.5822940399999998</c:v>
                </c:pt>
                <c:pt idx="4">
                  <c:v>2.2803624400000002</c:v>
                </c:pt>
                <c:pt idx="5">
                  <c:v>7.4234369400000002</c:v>
                </c:pt>
                <c:pt idx="6">
                  <c:v>5.7450520000000003</c:v>
                </c:pt>
                <c:pt idx="7">
                  <c:v>9.1721686200000008</c:v>
                </c:pt>
                <c:pt idx="8">
                  <c:v>7.7927834799999998</c:v>
                </c:pt>
                <c:pt idx="9">
                  <c:v>7.9398208199999996</c:v>
                </c:pt>
              </c:numCache>
            </c:numRef>
          </c:xVal>
          <c:yVal>
            <c:numRef>
              <c:f>[1]KNN_classification!$B$4:$B$13</c:f>
              <c:numCache>
                <c:formatCode>0.000</c:formatCode>
                <c:ptCount val="10"/>
                <c:pt idx="0">
                  <c:v>2.3312733799999998</c:v>
                </c:pt>
                <c:pt idx="1">
                  <c:v>1.7815396400000001</c:v>
                </c:pt>
                <c:pt idx="2">
                  <c:v>3.36836095</c:v>
                </c:pt>
                <c:pt idx="3">
                  <c:v>4.6791791099999998</c:v>
                </c:pt>
                <c:pt idx="4">
                  <c:v>2.8669902600000001</c:v>
                </c:pt>
                <c:pt idx="5">
                  <c:v>4.6965228799999998</c:v>
                </c:pt>
                <c:pt idx="6">
                  <c:v>3.5339898000000001</c:v>
                </c:pt>
                <c:pt idx="7">
                  <c:v>2.5111010500000002</c:v>
                </c:pt>
                <c:pt idx="8">
                  <c:v>3.4240889399999999</c:v>
                </c:pt>
                <c:pt idx="9">
                  <c:v>0.79163722999999997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64-4D4A-9670-B4FCF1EE4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86160"/>
        <c:axId val="1541189619"/>
      </c:scatterChart>
      <c:valAx>
        <c:axId val="902861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41189619"/>
        <c:crosses val="autoZero"/>
        <c:crossBetween val="midCat"/>
      </c:valAx>
      <c:valAx>
        <c:axId val="1541189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028616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1</xdr:row>
      <xdr:rowOff>47625</xdr:rowOff>
    </xdr:from>
    <xdr:ext cx="4162425" cy="2581275"/>
    <xdr:graphicFrame macro="">
      <xdr:nvGraphicFramePr>
        <xdr:cNvPr id="2" name="Chart 9" title="Chart">
          <a:extLst>
            <a:ext uri="{FF2B5EF4-FFF2-40B4-BE49-F238E27FC236}">
              <a16:creationId xmlns:a16="http://schemas.microsoft.com/office/drawing/2014/main" id="{9AAEF424-AEDB-4FF8-8393-0BA9DA266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51312;&#44540;&#54616;\Downloads\ADSP_&#44228;&#49328;&#47928;&#51228;%20(2).xlsx" TargetMode="External"/><Relationship Id="rId1" Type="http://schemas.openxmlformats.org/officeDocument/2006/relationships/externalLinkPath" Target="file:///C:\Users\&#51312;&#44540;&#54616;\Downloads\ADSP_&#44228;&#49328;&#47928;&#51228;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ash course"/>
      <sheetName val="covarianc_correlation"/>
      <sheetName val="linear regression"/>
      <sheetName val="__Solver__"/>
      <sheetName val="__Solver___conflict482289707"/>
      <sheetName val="simple linear regression"/>
      <sheetName val="bias_variance"/>
      <sheetName val="logistic function"/>
      <sheetName val="logistic regression"/>
      <sheetName val="KNN_classification"/>
      <sheetName val="gini"/>
      <sheetName val="confusion matrix"/>
      <sheetName val="loss function_logloss"/>
      <sheetName val="log loss plot"/>
      <sheetName val="PCA"/>
      <sheetName val="Hierachy Clustering"/>
      <sheetName val="KNN_clustering"/>
      <sheetName val="Lift curve"/>
      <sheetName val="경사하강(Stochastigradient descent)"/>
      <sheetName val="Association Rule_01"/>
      <sheetName val="Association Rule_02"/>
      <sheetName val="odds"/>
      <sheetName val="log"/>
      <sheetName val="__OpenSolverCache__"/>
      <sheetName val="__OpenSolver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 t="str">
            <v>X2</v>
          </cell>
        </row>
        <row r="4">
          <cell r="A4">
            <v>3.3935332100000002</v>
          </cell>
          <cell r="B4">
            <v>2.3312733799999998</v>
          </cell>
        </row>
        <row r="5">
          <cell r="A5">
            <v>3.1100734800000001</v>
          </cell>
          <cell r="B5">
            <v>1.7815396400000001</v>
          </cell>
        </row>
        <row r="6">
          <cell r="A6">
            <v>1.34380883</v>
          </cell>
          <cell r="B6">
            <v>3.36836095</v>
          </cell>
        </row>
        <row r="7">
          <cell r="A7">
            <v>3.5822940399999998</v>
          </cell>
          <cell r="B7">
            <v>4.6791791099999998</v>
          </cell>
        </row>
        <row r="8">
          <cell r="A8">
            <v>2.2803624400000002</v>
          </cell>
          <cell r="B8">
            <v>2.8669902600000001</v>
          </cell>
        </row>
        <row r="9">
          <cell r="A9">
            <v>7.4234369400000002</v>
          </cell>
          <cell r="B9">
            <v>4.6965228799999998</v>
          </cell>
        </row>
        <row r="10">
          <cell r="A10">
            <v>5.7450520000000003</v>
          </cell>
          <cell r="B10">
            <v>3.5339898000000001</v>
          </cell>
        </row>
        <row r="11">
          <cell r="A11">
            <v>9.1721686200000008</v>
          </cell>
          <cell r="B11">
            <v>2.5111010500000002</v>
          </cell>
        </row>
        <row r="12">
          <cell r="A12">
            <v>7.7927834799999998</v>
          </cell>
          <cell r="B12">
            <v>3.4240889399999999</v>
          </cell>
        </row>
        <row r="13">
          <cell r="A13">
            <v>7.9398208199999996</v>
          </cell>
          <cell r="B13">
            <v>0.79163722999999997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vision.stanford.edu/teaching/cs231n-demos/kn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B6AA-12E0-40FD-8DDB-9E19E8A821E5}">
  <dimension ref="A1:Z995"/>
  <sheetViews>
    <sheetView showGridLines="0" tabSelected="1" workbookViewId="0">
      <selection activeCell="G23" sqref="G23"/>
    </sheetView>
  </sheetViews>
  <sheetFormatPr defaultColWidth="11.3984375" defaultRowHeight="15.75" customHeight="1"/>
  <cols>
    <col min="1" max="8" width="11.3984375" style="5"/>
    <col min="9" max="12" width="12.69921875" style="5" customWidth="1"/>
    <col min="13" max="16384" width="11.3984375" style="5"/>
  </cols>
  <sheetData>
    <row r="1" spans="1:26" ht="17.399999999999999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6" t="s">
        <v>1</v>
      </c>
      <c r="B2" s="7"/>
      <c r="C2" s="3"/>
      <c r="D2" s="3"/>
      <c r="E2" s="3"/>
      <c r="F2" s="3"/>
      <c r="G2" s="3"/>
      <c r="H2" s="3"/>
      <c r="I2" s="3"/>
      <c r="J2" s="3"/>
      <c r="K2" s="8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399999999999999">
      <c r="A3" s="9" t="s">
        <v>3</v>
      </c>
      <c r="B3" s="9" t="s">
        <v>4</v>
      </c>
      <c r="C3" s="9" t="s">
        <v>5</v>
      </c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399999999999999">
      <c r="A4" s="10">
        <v>3.3935332100000002</v>
      </c>
      <c r="B4" s="10">
        <v>2.3312733799999998</v>
      </c>
      <c r="C4" s="3">
        <v>0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10">
        <v>3.1100734800000001</v>
      </c>
      <c r="B5" s="10">
        <v>1.7815396400000001</v>
      </c>
      <c r="C5" s="3">
        <v>0</v>
      </c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10">
        <v>1.34380883</v>
      </c>
      <c r="B6" s="10">
        <v>3.36836095</v>
      </c>
      <c r="C6" s="3">
        <v>0</v>
      </c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10">
        <v>3.5822940399999998</v>
      </c>
      <c r="B7" s="10">
        <v>4.6791791099999998</v>
      </c>
      <c r="C7" s="3">
        <v>0</v>
      </c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10">
        <v>2.2803624400000002</v>
      </c>
      <c r="B8" s="10">
        <v>2.8669902600000001</v>
      </c>
      <c r="C8" s="3">
        <v>0</v>
      </c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>
        <v>7.4234369400000002</v>
      </c>
      <c r="B9" s="10">
        <v>4.6965228799999998</v>
      </c>
      <c r="C9" s="3">
        <v>1</v>
      </c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10">
        <v>5.7450520000000003</v>
      </c>
      <c r="B10" s="10">
        <v>3.5339898000000001</v>
      </c>
      <c r="C10" s="3">
        <v>1</v>
      </c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10">
        <v>9.1721686200000008</v>
      </c>
      <c r="B11" s="10">
        <v>2.5111010500000002</v>
      </c>
      <c r="C11" s="3">
        <v>1</v>
      </c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10">
        <v>7.7927834799999998</v>
      </c>
      <c r="B12" s="10">
        <v>3.4240889399999999</v>
      </c>
      <c r="C12" s="3">
        <v>1</v>
      </c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10">
        <v>7.9398208199999996</v>
      </c>
      <c r="B13" s="10">
        <v>0.79163722999999997</v>
      </c>
      <c r="C13" s="3">
        <v>1</v>
      </c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1" t="s">
        <v>6</v>
      </c>
      <c r="B15" s="2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9" t="s">
        <v>3</v>
      </c>
      <c r="B16" s="9" t="s">
        <v>4</v>
      </c>
      <c r="C16" s="9" t="s">
        <v>7</v>
      </c>
      <c r="D16" s="9" t="s">
        <v>8</v>
      </c>
      <c r="E16" s="9" t="s">
        <v>9</v>
      </c>
      <c r="F16" s="9" t="s">
        <v>10</v>
      </c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10">
        <v>3.3935332100000002</v>
      </c>
      <c r="B17" s="10">
        <v>2.3312733799999998</v>
      </c>
      <c r="C17" s="10">
        <f t="shared" ref="C17:D17" si="0">(A17-A18)^2</f>
        <v>8.0349418531672975E-2</v>
      </c>
      <c r="D17" s="10">
        <f t="shared" si="0"/>
        <v>0.3022071848943873</v>
      </c>
      <c r="E17" s="10">
        <f>SUM(C17:D17)</f>
        <v>0.38255660342606029</v>
      </c>
      <c r="F17" s="10">
        <f>SQRT(E17)</f>
        <v>0.61851160330753718</v>
      </c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10">
        <v>3.1100734800000001</v>
      </c>
      <c r="B18" s="10">
        <v>1.7815396400000001</v>
      </c>
      <c r="C18" s="10"/>
      <c r="D18" s="10"/>
      <c r="E18" s="10"/>
      <c r="F18" s="10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11" t="s">
        <v>11</v>
      </c>
      <c r="B20" s="2"/>
      <c r="C20" s="3"/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9" t="s">
        <v>3</v>
      </c>
      <c r="B21" s="9" t="s">
        <v>4</v>
      </c>
      <c r="C21" s="9" t="s">
        <v>5</v>
      </c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10">
        <v>5</v>
      </c>
      <c r="B22" s="10">
        <v>3</v>
      </c>
      <c r="C22" s="12" t="s">
        <v>12</v>
      </c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6" t="s">
        <v>13</v>
      </c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9" t="s">
        <v>14</v>
      </c>
      <c r="B25" s="9" t="s">
        <v>3</v>
      </c>
      <c r="C25" s="9" t="s">
        <v>4</v>
      </c>
      <c r="D25" s="9" t="s">
        <v>5</v>
      </c>
      <c r="E25" s="9" t="s">
        <v>7</v>
      </c>
      <c r="F25" s="9" t="s">
        <v>8</v>
      </c>
      <c r="G25" s="9" t="s">
        <v>9</v>
      </c>
      <c r="H25" s="9" t="s">
        <v>10</v>
      </c>
      <c r="I25" s="13" t="s">
        <v>15</v>
      </c>
      <c r="J25" s="14" t="s">
        <v>13</v>
      </c>
      <c r="K25" s="15" t="s">
        <v>16</v>
      </c>
      <c r="L25" s="16" t="s">
        <v>13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3">
        <v>1</v>
      </c>
      <c r="B26" s="10">
        <v>3.3935332100000002</v>
      </c>
      <c r="C26" s="10">
        <v>2.3312733799999998</v>
      </c>
      <c r="D26" s="3">
        <v>0</v>
      </c>
      <c r="E26" s="10">
        <f t="shared" ref="E26:E35" si="1">($A$22-B26)^2</f>
        <v>2.5807355473729037</v>
      </c>
      <c r="F26" s="10">
        <f t="shared" ref="F26:F35" si="2">($B$22-C26)^2</f>
        <v>0.44719529229662464</v>
      </c>
      <c r="G26" s="10">
        <f t="shared" ref="G26:G35" si="3">SUM(E26:F26)</f>
        <v>3.0279308396695281</v>
      </c>
      <c r="H26" s="10">
        <f t="shared" ref="H26:H35" si="4">SQRT(G26)</f>
        <v>1.7400950662735437</v>
      </c>
      <c r="I26" s="17" t="s">
        <v>17</v>
      </c>
      <c r="J26" s="17">
        <f>MODE(D26, D29, D32)</f>
        <v>0</v>
      </c>
      <c r="K26" s="18" t="s">
        <v>17</v>
      </c>
      <c r="L26" s="19">
        <f>MODE(D26, D27, D29, D32, D34)</f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3">
        <v>2</v>
      </c>
      <c r="B27" s="10">
        <v>3.1100734800000001</v>
      </c>
      <c r="C27" s="10">
        <v>1.7815396400000001</v>
      </c>
      <c r="D27" s="3">
        <v>0</v>
      </c>
      <c r="E27" s="10">
        <f t="shared" si="1"/>
        <v>3.5718222509993103</v>
      </c>
      <c r="F27" s="10">
        <f t="shared" si="2"/>
        <v>1.4846456488913293</v>
      </c>
      <c r="G27" s="10">
        <f t="shared" si="3"/>
        <v>5.0564678998906398</v>
      </c>
      <c r="H27" s="10">
        <f t="shared" si="4"/>
        <v>2.2486591337707544</v>
      </c>
      <c r="I27" s="17"/>
      <c r="J27" s="17"/>
      <c r="K27" s="18" t="s">
        <v>17</v>
      </c>
      <c r="L27" s="18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3">
        <v>3</v>
      </c>
      <c r="B28" s="10">
        <v>1.34380883</v>
      </c>
      <c r="C28" s="10">
        <v>3.36836095</v>
      </c>
      <c r="D28" s="3">
        <v>0</v>
      </c>
      <c r="E28" s="10">
        <f t="shared" si="1"/>
        <v>13.367733871585969</v>
      </c>
      <c r="F28" s="10">
        <f t="shared" si="2"/>
        <v>0.13568978948490251</v>
      </c>
      <c r="G28" s="10">
        <f t="shared" si="3"/>
        <v>13.503423661070872</v>
      </c>
      <c r="H28" s="10">
        <f t="shared" si="4"/>
        <v>3.6747004858996157</v>
      </c>
      <c r="I28" s="17"/>
      <c r="J28" s="17"/>
      <c r="K28" s="18"/>
      <c r="L28" s="1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3">
        <v>4</v>
      </c>
      <c r="B29" s="10">
        <v>3.5822940399999998</v>
      </c>
      <c r="C29" s="10">
        <v>4.6791791099999998</v>
      </c>
      <c r="D29" s="3">
        <v>0</v>
      </c>
      <c r="E29" s="10">
        <f t="shared" si="1"/>
        <v>2.0098901890195222</v>
      </c>
      <c r="F29" s="10">
        <f t="shared" si="2"/>
        <v>2.8196424834603913</v>
      </c>
      <c r="G29" s="10">
        <f t="shared" si="3"/>
        <v>4.8295326724799139</v>
      </c>
      <c r="H29" s="10">
        <f t="shared" si="4"/>
        <v>2.1976197743194601</v>
      </c>
      <c r="I29" s="17" t="s">
        <v>17</v>
      </c>
      <c r="J29" s="17"/>
      <c r="K29" s="18" t="s">
        <v>17</v>
      </c>
      <c r="L29" s="1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3">
        <v>5</v>
      </c>
      <c r="B30" s="10">
        <v>2.2803624400000002</v>
      </c>
      <c r="C30" s="10">
        <v>2.8669902600000001</v>
      </c>
      <c r="D30" s="3">
        <v>0</v>
      </c>
      <c r="E30" s="10">
        <f t="shared" si="1"/>
        <v>7.3964284577627524</v>
      </c>
      <c r="F30" s="10">
        <f t="shared" si="2"/>
        <v>1.7691590934867565E-2</v>
      </c>
      <c r="G30" s="10">
        <f t="shared" si="3"/>
        <v>7.4141200486976198</v>
      </c>
      <c r="H30" s="10">
        <f t="shared" si="4"/>
        <v>2.7228881814532193</v>
      </c>
      <c r="I30" s="17"/>
      <c r="J30" s="17"/>
      <c r="K30" s="18"/>
      <c r="L30" s="1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3">
        <v>6</v>
      </c>
      <c r="B31" s="10">
        <v>7.4234369400000002</v>
      </c>
      <c r="C31" s="10">
        <v>4.6965228799999998</v>
      </c>
      <c r="D31" s="3">
        <v>1</v>
      </c>
      <c r="E31" s="10">
        <f t="shared" si="1"/>
        <v>5.8730466021565642</v>
      </c>
      <c r="F31" s="10">
        <f t="shared" si="2"/>
        <v>2.8781898823634937</v>
      </c>
      <c r="G31" s="10">
        <f t="shared" si="3"/>
        <v>8.7512364845200583</v>
      </c>
      <c r="H31" s="10">
        <f t="shared" si="4"/>
        <v>2.9582488881972151</v>
      </c>
      <c r="I31" s="17"/>
      <c r="J31" s="17"/>
      <c r="K31" s="18"/>
      <c r="L31" s="1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3">
        <v>7</v>
      </c>
      <c r="B32" s="10">
        <v>5.7450520000000003</v>
      </c>
      <c r="C32" s="10">
        <v>3.5339898000000001</v>
      </c>
      <c r="D32" s="3">
        <v>1</v>
      </c>
      <c r="E32" s="10">
        <f t="shared" si="1"/>
        <v>0.55510248270400042</v>
      </c>
      <c r="F32" s="10">
        <f t="shared" si="2"/>
        <v>0.28514510650404007</v>
      </c>
      <c r="G32" s="10">
        <f t="shared" si="3"/>
        <v>0.84024758920804055</v>
      </c>
      <c r="H32" s="10">
        <f t="shared" si="4"/>
        <v>0.91665020002618258</v>
      </c>
      <c r="I32" s="17" t="s">
        <v>17</v>
      </c>
      <c r="J32" s="17"/>
      <c r="K32" s="18" t="s">
        <v>17</v>
      </c>
      <c r="L32" s="1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3">
        <v>8</v>
      </c>
      <c r="B33" s="10">
        <v>9.1721686200000008</v>
      </c>
      <c r="C33" s="10">
        <v>2.5111010500000002</v>
      </c>
      <c r="D33" s="3">
        <v>1</v>
      </c>
      <c r="E33" s="10">
        <f t="shared" si="1"/>
        <v>17.406990993712711</v>
      </c>
      <c r="F33" s="10">
        <f t="shared" si="2"/>
        <v>0.23902218331110234</v>
      </c>
      <c r="G33" s="10">
        <f t="shared" si="3"/>
        <v>17.646013177023814</v>
      </c>
      <c r="H33" s="10">
        <f t="shared" si="4"/>
        <v>4.2007157934123338</v>
      </c>
      <c r="I33" s="17"/>
      <c r="J33" s="17"/>
      <c r="K33" s="18"/>
      <c r="L33" s="18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3">
        <v>9</v>
      </c>
      <c r="B34" s="10">
        <v>7.7927834799999998</v>
      </c>
      <c r="C34" s="10">
        <v>3.4240889399999999</v>
      </c>
      <c r="D34" s="3">
        <v>1</v>
      </c>
      <c r="E34" s="10">
        <f t="shared" si="1"/>
        <v>7.7996395661609093</v>
      </c>
      <c r="F34" s="10">
        <f t="shared" si="2"/>
        <v>0.17985142903032347</v>
      </c>
      <c r="G34" s="10">
        <f t="shared" si="3"/>
        <v>7.9794909951912327</v>
      </c>
      <c r="H34" s="10">
        <f t="shared" si="4"/>
        <v>2.8247992840538658</v>
      </c>
      <c r="I34" s="17"/>
      <c r="J34" s="17"/>
      <c r="K34" s="18" t="s">
        <v>17</v>
      </c>
      <c r="L34" s="1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3">
        <v>10</v>
      </c>
      <c r="B35" s="10">
        <v>7.9398208199999996</v>
      </c>
      <c r="C35" s="10">
        <v>0.79163722999999997</v>
      </c>
      <c r="D35" s="3">
        <v>1</v>
      </c>
      <c r="E35" s="10">
        <f t="shared" si="1"/>
        <v>8.642546453705469</v>
      </c>
      <c r="F35" s="10">
        <f t="shared" si="2"/>
        <v>4.8768661239220723</v>
      </c>
      <c r="G35" s="10">
        <f t="shared" si="3"/>
        <v>13.519412577627541</v>
      </c>
      <c r="H35" s="10">
        <f t="shared" si="4"/>
        <v>3.6768753823902629</v>
      </c>
      <c r="I35" s="17"/>
      <c r="J35" s="17"/>
      <c r="K35" s="18"/>
      <c r="L35" s="18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3">
    <mergeCell ref="A1:B1"/>
    <mergeCell ref="A15:B15"/>
    <mergeCell ref="A20:B20"/>
  </mergeCells>
  <phoneticPr fontId="2" type="noConversion"/>
  <hyperlinks>
    <hyperlink ref="K2" r:id="rId1" xr:uid="{A1064FA9-1F95-468C-A559-1E2DE601B78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Sanggoo Cho</dc:creator>
  <cp:lastModifiedBy>Sanggoo Cho</cp:lastModifiedBy>
  <dcterms:created xsi:type="dcterms:W3CDTF">2026-03-30T02:11:56Z</dcterms:created>
  <dcterms:modified xsi:type="dcterms:W3CDTF">2026-03-30T02:12:51Z</dcterms:modified>
</cp:coreProperties>
</file>