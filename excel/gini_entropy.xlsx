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\Downloads\"/>
    </mc:Choice>
  </mc:AlternateContent>
  <xr:revisionPtr revIDLastSave="0" documentId="8_{F6E27871-D5E6-4432-9AE7-6EF8D6B0BD62}" xr6:coauthVersionLast="47" xr6:coauthVersionMax="47" xr10:uidLastSave="{00000000-0000-0000-0000-000000000000}"/>
  <bookViews>
    <workbookView xWindow="-120" yWindow="-120" windowWidth="29040" windowHeight="15720" xr2:uid="{5EF9AD07-BCDE-4874-9221-6DAFF05B915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1" i="1" l="1"/>
  <c r="B21" i="1"/>
  <c r="B10" i="1"/>
  <c r="B9" i="1"/>
  <c r="B6" i="1"/>
  <c r="B24" i="1" s="1"/>
  <c r="L5" i="1"/>
  <c r="D4" i="1"/>
  <c r="E4" i="1" s="1"/>
  <c r="F4" i="1" s="1"/>
  <c r="G4" i="1" s="1"/>
  <c r="H4" i="1" s="1"/>
  <c r="I4" i="1" s="1"/>
  <c r="J4" i="1" s="1"/>
  <c r="K4" i="1" s="1"/>
  <c r="L4" i="1" s="1"/>
  <c r="C4" i="1"/>
  <c r="C3" i="1"/>
  <c r="C5" i="1" s="1"/>
  <c r="C31" i="1" l="1"/>
  <c r="C10" i="1"/>
  <c r="C7" i="1"/>
  <c r="C8" i="1" s="1"/>
  <c r="C9" i="1"/>
  <c r="C21" i="1"/>
  <c r="C6" i="1"/>
  <c r="C32" i="1" s="1"/>
  <c r="C24" i="1"/>
  <c r="D3" i="1"/>
  <c r="L21" i="1"/>
  <c r="L31" i="1"/>
  <c r="B32" i="1"/>
  <c r="L6" i="1"/>
  <c r="L32" i="1" s="1"/>
  <c r="L10" i="1"/>
  <c r="B7" i="1"/>
  <c r="B8" i="1" s="1"/>
  <c r="L9" i="1"/>
  <c r="L7" i="1" l="1"/>
  <c r="L8" i="1" s="1"/>
  <c r="D5" i="1"/>
  <c r="E3" i="1"/>
  <c r="L24" i="1"/>
  <c r="E5" i="1" l="1"/>
  <c r="F3" i="1"/>
  <c r="D10" i="1"/>
  <c r="D31" i="1"/>
  <c r="D21" i="1"/>
  <c r="D9" i="1"/>
  <c r="D6" i="1"/>
  <c r="D32" i="1" s="1"/>
  <c r="E31" i="1" l="1"/>
  <c r="E9" i="1"/>
  <c r="E21" i="1"/>
  <c r="E10" i="1"/>
  <c r="E6" i="1"/>
  <c r="E32" i="1" s="1"/>
  <c r="D24" i="1"/>
  <c r="D7" i="1"/>
  <c r="D8" i="1" s="1"/>
  <c r="F5" i="1"/>
  <c r="G3" i="1"/>
  <c r="F21" i="1" l="1"/>
  <c r="F6" i="1"/>
  <c r="F32" i="1" s="1"/>
  <c r="F9" i="1"/>
  <c r="F31" i="1"/>
  <c r="F10" i="1"/>
  <c r="E24" i="1"/>
  <c r="G5" i="1"/>
  <c r="H3" i="1"/>
  <c r="E7" i="1"/>
  <c r="E8" i="1" s="1"/>
  <c r="G21" i="1" l="1"/>
  <c r="G10" i="1"/>
  <c r="G9" i="1"/>
  <c r="G24" i="1"/>
  <c r="G6" i="1"/>
  <c r="G32" i="1" s="1"/>
  <c r="G31" i="1"/>
  <c r="H5" i="1"/>
  <c r="I3" i="1"/>
  <c r="F7" i="1"/>
  <c r="F8" i="1" s="1"/>
  <c r="F24" i="1"/>
  <c r="H21" i="1" l="1"/>
  <c r="H10" i="1"/>
  <c r="H6" i="1"/>
  <c r="H32" i="1" s="1"/>
  <c r="H9" i="1"/>
  <c r="H24" i="1"/>
  <c r="H31" i="1"/>
  <c r="I5" i="1"/>
  <c r="J3" i="1"/>
  <c r="G7" i="1"/>
  <c r="G8" i="1" s="1"/>
  <c r="J5" i="1" l="1"/>
  <c r="K3" i="1"/>
  <c r="I21" i="1"/>
  <c r="I6" i="1"/>
  <c r="I32" i="1" s="1"/>
  <c r="I9" i="1"/>
  <c r="I31" i="1"/>
  <c r="I7" i="1"/>
  <c r="I8" i="1" s="1"/>
  <c r="I10" i="1"/>
  <c r="H7" i="1"/>
  <c r="H8" i="1" s="1"/>
  <c r="I24" i="1" l="1"/>
  <c r="K5" i="1"/>
  <c r="L3" i="1"/>
  <c r="J10" i="1"/>
  <c r="J9" i="1"/>
  <c r="J6" i="1"/>
  <c r="J32" i="1" s="1"/>
  <c r="J31" i="1"/>
  <c r="J21" i="1"/>
  <c r="J24" i="1" l="1"/>
  <c r="J7" i="1"/>
  <c r="J8" i="1" s="1"/>
  <c r="K21" i="1"/>
  <c r="K24" i="1"/>
  <c r="K6" i="1"/>
  <c r="K32" i="1" s="1"/>
  <c r="K9" i="1"/>
  <c r="K31" i="1"/>
  <c r="K10" i="1"/>
  <c r="K7" i="1"/>
  <c r="K8" i="1" s="1"/>
</calcChain>
</file>

<file path=xl/sharedStrings.xml><?xml version="1.0" encoding="utf-8"?>
<sst xmlns="http://schemas.openxmlformats.org/spreadsheetml/2006/main" count="39" uniqueCount="27">
  <si>
    <t>Node</t>
  </si>
  <si>
    <t>Node 1</t>
  </si>
  <si>
    <t>Node 2</t>
  </si>
  <si>
    <t>Node 3</t>
  </si>
  <si>
    <t>Node 4</t>
  </si>
  <si>
    <t>Node 5</t>
  </si>
  <si>
    <t>Node 6</t>
  </si>
  <si>
    <t>Node 7</t>
  </si>
  <si>
    <t>Node 8</t>
  </si>
  <si>
    <t>Node 9</t>
  </si>
  <si>
    <t>Node 10</t>
  </si>
  <si>
    <t>Node 11</t>
  </si>
  <si>
    <t>Positive (비정상) 개수</t>
  </si>
  <si>
    <t>Negative (정상) 개수</t>
  </si>
  <si>
    <t>p = Probability(target=비정상)</t>
  </si>
  <si>
    <t>1-p =Probability(target=정상)</t>
  </si>
  <si>
    <t>p*(1-p)</t>
  </si>
  <si>
    <t>gini = 2*p*(1-p)</t>
  </si>
  <si>
    <t>entropy</t>
  </si>
  <si>
    <t>miss clarification</t>
  </si>
  <si>
    <t>Pure</t>
    <phoneticPr fontId="4" type="noConversion"/>
  </si>
  <si>
    <t>Not Pure</t>
    <phoneticPr fontId="4" type="noConversion"/>
  </si>
  <si>
    <t>엔트로피(불확실성)</t>
    <phoneticPr fontId="4" type="noConversion"/>
  </si>
  <si>
    <r>
      <rPr>
        <sz val="10"/>
        <color theme="1"/>
        <rFont val="맑은 고딕"/>
        <family val="2"/>
        <charset val="129"/>
      </rPr>
      <t>교차엔트로픽(</t>
    </r>
    <r>
      <rPr>
        <sz val="10"/>
        <color theme="1"/>
        <rFont val="Verdana"/>
        <family val="2"/>
      </rPr>
      <t>Cross Entrophy)</t>
    </r>
    <phoneticPr fontId="4" type="noConversion"/>
  </si>
  <si>
    <r>
      <t>Surprise</t>
    </r>
    <r>
      <rPr>
        <sz val="10"/>
        <color rgb="FF000000"/>
        <rFont val="맑은 고딕"/>
        <family val="2"/>
        <charset val="129"/>
      </rPr>
      <t>의</t>
    </r>
    <r>
      <rPr>
        <sz val="10"/>
        <color rgb="FF000000"/>
        <rFont val="Verdana"/>
        <family val="2"/>
      </rPr>
      <t xml:space="preserve"> </t>
    </r>
    <r>
      <rPr>
        <sz val="10"/>
        <color rgb="FF000000"/>
        <rFont val="맑은 고딕"/>
        <family val="2"/>
        <charset val="129"/>
      </rPr>
      <t>크기</t>
    </r>
    <r>
      <rPr>
        <sz val="10"/>
        <color rgb="FF000000"/>
        <rFont val="Verdana"/>
        <family val="2"/>
      </rPr>
      <t>(</t>
    </r>
    <r>
      <rPr>
        <sz val="10"/>
        <color rgb="FF000000"/>
        <rFont val="맑은 고딕"/>
        <family val="2"/>
        <charset val="129"/>
      </rPr>
      <t>해당사건의 확률이 작을수록 발생했을떄 놀람의 정도)</t>
    </r>
    <phoneticPr fontId="4" type="noConversion"/>
  </si>
  <si>
    <t>target=비정상</t>
  </si>
  <si>
    <t>target=정상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</si>
</sst>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E+00"/>
  </numFmts>
  <fonts count="8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Verdana"/>
      <family val="2"/>
    </font>
    <font>
      <sz val="8"/>
      <name val="맑은 고딕"/>
      <family val="2"/>
      <charset val="129"/>
      <scheme val="minor"/>
    </font>
    <font>
      <sz val="10"/>
      <color rgb="FF000000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Verdana"/>
      <family val="2"/>
      <charset val="129"/>
    </font>
    <font>
      <sz val="10"/>
      <color rgb="FF00000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right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176" fontId="3" fillId="2" borderId="0" xfId="0" applyNumberFormat="1" applyFont="1" applyFill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center"/>
    </xf>
    <xf numFmtId="2" fontId="3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2" fontId="1" fillId="4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right" vertical="center" wrapText="1"/>
    </xf>
    <xf numFmtId="2" fontId="1" fillId="0" borderId="0" xfId="0" applyNumberFormat="1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gini = 2*p*(1-p) vs. Node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[1]gini!$A$8</c:f>
              <c:strCache>
                <c:ptCount val="1"/>
                <c:pt idx="0">
                  <c:v>gini = 2*p*(1-p)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[1]gini!$B$2:$L$2</c:f>
              <c:strCache>
                <c:ptCount val="11"/>
                <c:pt idx="0">
                  <c:v>Node 1</c:v>
                </c:pt>
                <c:pt idx="1">
                  <c:v>Node 2</c:v>
                </c:pt>
                <c:pt idx="2">
                  <c:v>Node 3</c:v>
                </c:pt>
                <c:pt idx="3">
                  <c:v>Node 4</c:v>
                </c:pt>
                <c:pt idx="4">
                  <c:v>Node 5</c:v>
                </c:pt>
                <c:pt idx="5">
                  <c:v>Node 6</c:v>
                </c:pt>
                <c:pt idx="6">
                  <c:v>Node 7</c:v>
                </c:pt>
                <c:pt idx="7">
                  <c:v>Node 8</c:v>
                </c:pt>
                <c:pt idx="8">
                  <c:v>Node 9</c:v>
                </c:pt>
                <c:pt idx="9">
                  <c:v>Node 10</c:v>
                </c:pt>
                <c:pt idx="10">
                  <c:v>Node 11</c:v>
                </c:pt>
              </c:strCache>
            </c:strRef>
          </c:cat>
          <c:val>
            <c:numRef>
              <c:f>[1]gini!$B$8:$L$8</c:f>
              <c:numCache>
                <c:formatCode>General</c:formatCode>
                <c:ptCount val="11"/>
                <c:pt idx="0">
                  <c:v>1.9999800000000001E-5</c:v>
                </c:pt>
                <c:pt idx="1">
                  <c:v>0.17999999999999997</c:v>
                </c:pt>
                <c:pt idx="2">
                  <c:v>0.31999999999999995</c:v>
                </c:pt>
                <c:pt idx="3">
                  <c:v>0.42000000000000004</c:v>
                </c:pt>
                <c:pt idx="4">
                  <c:v>0.48</c:v>
                </c:pt>
                <c:pt idx="5">
                  <c:v>0.5</c:v>
                </c:pt>
                <c:pt idx="6">
                  <c:v>0.48</c:v>
                </c:pt>
                <c:pt idx="7">
                  <c:v>0.42</c:v>
                </c:pt>
                <c:pt idx="8">
                  <c:v>0.32000000000000006</c:v>
                </c:pt>
                <c:pt idx="9">
                  <c:v>0.18000000000000002</c:v>
                </c:pt>
                <c:pt idx="10">
                  <c:v>1.9999799999908982E-5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61-4554-BC07-F5C4CFEEB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71350"/>
        <c:axId val="1466398482"/>
      </c:barChart>
      <c:catAx>
        <c:axId val="33371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466398482"/>
        <c:crosses val="autoZero"/>
        <c:auto val="1"/>
        <c:lblAlgn val="ctr"/>
        <c:lblOffset val="100"/>
        <c:noMultiLvlLbl val="1"/>
      </c:catAx>
      <c:valAx>
        <c:axId val="1466398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gini = 2*p*(1-p)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33713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p*(1-p), gini = 2*p*(1-p), entropy and miss clarification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[1]gini!$A$7</c:f>
              <c:strCache>
                <c:ptCount val="1"/>
                <c:pt idx="0">
                  <c:v>p*(1-p)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[1]gini!$B$2:$L$2</c:f>
              <c:strCache>
                <c:ptCount val="11"/>
                <c:pt idx="0">
                  <c:v>Node 1</c:v>
                </c:pt>
                <c:pt idx="1">
                  <c:v>Node 2</c:v>
                </c:pt>
                <c:pt idx="2">
                  <c:v>Node 3</c:v>
                </c:pt>
                <c:pt idx="3">
                  <c:v>Node 4</c:v>
                </c:pt>
                <c:pt idx="4">
                  <c:v>Node 5</c:v>
                </c:pt>
                <c:pt idx="5">
                  <c:v>Node 6</c:v>
                </c:pt>
                <c:pt idx="6">
                  <c:v>Node 7</c:v>
                </c:pt>
                <c:pt idx="7">
                  <c:v>Node 8</c:v>
                </c:pt>
                <c:pt idx="8">
                  <c:v>Node 9</c:v>
                </c:pt>
                <c:pt idx="9">
                  <c:v>Node 10</c:v>
                </c:pt>
                <c:pt idx="10">
                  <c:v>Node 11</c:v>
                </c:pt>
              </c:strCache>
            </c:strRef>
          </c:cat>
          <c:val>
            <c:numRef>
              <c:f>[1]gini!$B$7:$L$7</c:f>
              <c:numCache>
                <c:formatCode>General</c:formatCode>
                <c:ptCount val="11"/>
                <c:pt idx="0">
                  <c:v>9.9999000000000006E-6</c:v>
                </c:pt>
                <c:pt idx="1">
                  <c:v>8.9999999999999983E-2</c:v>
                </c:pt>
                <c:pt idx="2">
                  <c:v>0.15999999999999998</c:v>
                </c:pt>
                <c:pt idx="3">
                  <c:v>0.21000000000000002</c:v>
                </c:pt>
                <c:pt idx="4">
                  <c:v>0.24</c:v>
                </c:pt>
                <c:pt idx="5">
                  <c:v>0.25</c:v>
                </c:pt>
                <c:pt idx="6">
                  <c:v>0.24</c:v>
                </c:pt>
                <c:pt idx="7">
                  <c:v>0.21</c:v>
                </c:pt>
                <c:pt idx="8">
                  <c:v>0.16000000000000003</c:v>
                </c:pt>
                <c:pt idx="9">
                  <c:v>9.0000000000000011E-2</c:v>
                </c:pt>
                <c:pt idx="10">
                  <c:v>9.9998999999544912E-6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09-4CDC-970F-2491CA784214}"/>
            </c:ext>
          </c:extLst>
        </c:ser>
        <c:ser>
          <c:idx val="1"/>
          <c:order val="1"/>
          <c:tx>
            <c:strRef>
              <c:f>[1]gini!$A$8</c:f>
              <c:strCache>
                <c:ptCount val="1"/>
                <c:pt idx="0">
                  <c:v>gini = 2*p*(1-p)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[1]gini!$B$2:$L$2</c:f>
              <c:strCache>
                <c:ptCount val="11"/>
                <c:pt idx="0">
                  <c:v>Node 1</c:v>
                </c:pt>
                <c:pt idx="1">
                  <c:v>Node 2</c:v>
                </c:pt>
                <c:pt idx="2">
                  <c:v>Node 3</c:v>
                </c:pt>
                <c:pt idx="3">
                  <c:v>Node 4</c:v>
                </c:pt>
                <c:pt idx="4">
                  <c:v>Node 5</c:v>
                </c:pt>
                <c:pt idx="5">
                  <c:v>Node 6</c:v>
                </c:pt>
                <c:pt idx="6">
                  <c:v>Node 7</c:v>
                </c:pt>
                <c:pt idx="7">
                  <c:v>Node 8</c:v>
                </c:pt>
                <c:pt idx="8">
                  <c:v>Node 9</c:v>
                </c:pt>
                <c:pt idx="9">
                  <c:v>Node 10</c:v>
                </c:pt>
                <c:pt idx="10">
                  <c:v>Node 11</c:v>
                </c:pt>
              </c:strCache>
            </c:strRef>
          </c:cat>
          <c:val>
            <c:numRef>
              <c:f>[1]gini!$B$8:$L$8</c:f>
              <c:numCache>
                <c:formatCode>General</c:formatCode>
                <c:ptCount val="11"/>
                <c:pt idx="0">
                  <c:v>1.9999800000000001E-5</c:v>
                </c:pt>
                <c:pt idx="1">
                  <c:v>0.17999999999999997</c:v>
                </c:pt>
                <c:pt idx="2">
                  <c:v>0.31999999999999995</c:v>
                </c:pt>
                <c:pt idx="3">
                  <c:v>0.42000000000000004</c:v>
                </c:pt>
                <c:pt idx="4">
                  <c:v>0.48</c:v>
                </c:pt>
                <c:pt idx="5">
                  <c:v>0.5</c:v>
                </c:pt>
                <c:pt idx="6">
                  <c:v>0.48</c:v>
                </c:pt>
                <c:pt idx="7">
                  <c:v>0.42</c:v>
                </c:pt>
                <c:pt idx="8">
                  <c:v>0.32000000000000006</c:v>
                </c:pt>
                <c:pt idx="9">
                  <c:v>0.18000000000000002</c:v>
                </c:pt>
                <c:pt idx="10">
                  <c:v>1.9999799999908982E-5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09-4CDC-970F-2491CA784214}"/>
            </c:ext>
          </c:extLst>
        </c:ser>
        <c:ser>
          <c:idx val="2"/>
          <c:order val="2"/>
          <c:tx>
            <c:strRef>
              <c:f>[1]gini!$A$9</c:f>
              <c:strCache>
                <c:ptCount val="1"/>
                <c:pt idx="0">
                  <c:v>entropy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[1]gini!$B$2:$L$2</c:f>
              <c:strCache>
                <c:ptCount val="11"/>
                <c:pt idx="0">
                  <c:v>Node 1</c:v>
                </c:pt>
                <c:pt idx="1">
                  <c:v>Node 2</c:v>
                </c:pt>
                <c:pt idx="2">
                  <c:v>Node 3</c:v>
                </c:pt>
                <c:pt idx="3">
                  <c:v>Node 4</c:v>
                </c:pt>
                <c:pt idx="4">
                  <c:v>Node 5</c:v>
                </c:pt>
                <c:pt idx="5">
                  <c:v>Node 6</c:v>
                </c:pt>
                <c:pt idx="6">
                  <c:v>Node 7</c:v>
                </c:pt>
                <c:pt idx="7">
                  <c:v>Node 8</c:v>
                </c:pt>
                <c:pt idx="8">
                  <c:v>Node 9</c:v>
                </c:pt>
                <c:pt idx="9">
                  <c:v>Node 10</c:v>
                </c:pt>
                <c:pt idx="10">
                  <c:v>Node 11</c:v>
                </c:pt>
              </c:strCache>
            </c:strRef>
          </c:cat>
          <c:val>
            <c:numRef>
              <c:f>[1]gini!$B$9:$L$9</c:f>
              <c:numCache>
                <c:formatCode>0.00</c:formatCode>
                <c:ptCount val="11"/>
                <c:pt idx="0">
                  <c:v>1.8052328301819962E-4</c:v>
                </c:pt>
                <c:pt idx="1">
                  <c:v>0.46899559358928117</c:v>
                </c:pt>
                <c:pt idx="2">
                  <c:v>0.72192809488736231</c:v>
                </c:pt>
                <c:pt idx="3">
                  <c:v>0.8812908992306927</c:v>
                </c:pt>
                <c:pt idx="4">
                  <c:v>0.97095059445466858</c:v>
                </c:pt>
                <c:pt idx="5">
                  <c:v>1</c:v>
                </c:pt>
                <c:pt idx="6">
                  <c:v>0.97095059445466858</c:v>
                </c:pt>
                <c:pt idx="7">
                  <c:v>0.8812908992306927</c:v>
                </c:pt>
                <c:pt idx="8">
                  <c:v>0.72192809488736231</c:v>
                </c:pt>
                <c:pt idx="9">
                  <c:v>0.46899559358928122</c:v>
                </c:pt>
                <c:pt idx="10">
                  <c:v>1.8052328301750936E-4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09-4CDC-970F-2491CA784214}"/>
            </c:ext>
          </c:extLst>
        </c:ser>
        <c:ser>
          <c:idx val="3"/>
          <c:order val="3"/>
          <c:tx>
            <c:strRef>
              <c:f>[1]gini!$A$10</c:f>
              <c:strCache>
                <c:ptCount val="1"/>
                <c:pt idx="0">
                  <c:v>miss clarification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[1]gini!$B$2:$L$2</c:f>
              <c:strCache>
                <c:ptCount val="11"/>
                <c:pt idx="0">
                  <c:v>Node 1</c:v>
                </c:pt>
                <c:pt idx="1">
                  <c:v>Node 2</c:v>
                </c:pt>
                <c:pt idx="2">
                  <c:v>Node 3</c:v>
                </c:pt>
                <c:pt idx="3">
                  <c:v>Node 4</c:v>
                </c:pt>
                <c:pt idx="4">
                  <c:v>Node 5</c:v>
                </c:pt>
                <c:pt idx="5">
                  <c:v>Node 6</c:v>
                </c:pt>
                <c:pt idx="6">
                  <c:v>Node 7</c:v>
                </c:pt>
                <c:pt idx="7">
                  <c:v>Node 8</c:v>
                </c:pt>
                <c:pt idx="8">
                  <c:v>Node 9</c:v>
                </c:pt>
                <c:pt idx="9">
                  <c:v>Node 10</c:v>
                </c:pt>
                <c:pt idx="10">
                  <c:v>Node 11</c:v>
                </c:pt>
              </c:strCache>
            </c:strRef>
          </c:cat>
          <c:val>
            <c:numRef>
              <c:f>[1]gini!$B$10:$L$10</c:f>
              <c:numCache>
                <c:formatCode>General</c:formatCode>
                <c:ptCount val="11"/>
                <c:pt idx="0">
                  <c:v>9.9999999999544897E-6</c:v>
                </c:pt>
                <c:pt idx="1">
                  <c:v>9.9999999999999978E-2</c:v>
                </c:pt>
                <c:pt idx="2">
                  <c:v>0.19999999999999996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0.4</c:v>
                </c:pt>
                <c:pt idx="7">
                  <c:v>0.30000000000000004</c:v>
                </c:pt>
                <c:pt idx="8">
                  <c:v>0.19999999999999996</c:v>
                </c:pt>
                <c:pt idx="9">
                  <c:v>9.9999999999999978E-2</c:v>
                </c:pt>
                <c:pt idx="10">
                  <c:v>9.9999999999544897E-6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09-4CDC-970F-2491CA784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824643"/>
        <c:axId val="725157135"/>
      </c:lineChart>
      <c:catAx>
        <c:axId val="214824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725157135"/>
        <c:crosses val="autoZero"/>
        <c:auto val="1"/>
        <c:lblAlgn val="ctr"/>
        <c:lblOffset val="100"/>
        <c:noMultiLvlLbl val="1"/>
      </c:catAx>
      <c:valAx>
        <c:axId val="725157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1482464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664844</xdr:colOff>
      <xdr:row>0</xdr:row>
      <xdr:rowOff>179070</xdr:rowOff>
    </xdr:from>
    <xdr:ext cx="5789611" cy="3382072"/>
    <xdr:graphicFrame macro="">
      <xdr:nvGraphicFramePr>
        <xdr:cNvPr id="2" name="Chart 11" title="Chart">
          <a:extLst>
            <a:ext uri="{FF2B5EF4-FFF2-40B4-BE49-F238E27FC236}">
              <a16:creationId xmlns:a16="http://schemas.microsoft.com/office/drawing/2014/main" id="{A789A4CC-9461-4944-A842-74CA29B73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674370</xdr:colOff>
      <xdr:row>14</xdr:row>
      <xdr:rowOff>175260</xdr:rowOff>
    </xdr:from>
    <xdr:ext cx="5787390" cy="3314700"/>
    <xdr:graphicFrame macro="">
      <xdr:nvGraphicFramePr>
        <xdr:cNvPr id="3" name="Chart 12" title="Chart">
          <a:extLst>
            <a:ext uri="{FF2B5EF4-FFF2-40B4-BE49-F238E27FC236}">
              <a16:creationId xmlns:a16="http://schemas.microsoft.com/office/drawing/2014/main" id="{FEB692F6-A226-478F-A631-ECD69FCAF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0</xdr:col>
      <xdr:colOff>1743075</xdr:colOff>
      <xdr:row>10</xdr:row>
      <xdr:rowOff>47625</xdr:rowOff>
    </xdr:from>
    <xdr:to>
      <xdr:col>5</xdr:col>
      <xdr:colOff>713877</xdr:colOff>
      <xdr:row>13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1199E12-0DF8-426B-8F9A-83FFAFBC5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3075" y="2828925"/>
          <a:ext cx="4342902" cy="685800"/>
        </a:xfrm>
        <a:prstGeom prst="rect">
          <a:avLst/>
        </a:prstGeom>
      </xdr:spPr>
    </xdr:pic>
    <xdr:clientData/>
  </xdr:twoCellAnchor>
  <xdr:twoCellAnchor editAs="oneCell">
    <xdr:from>
      <xdr:col>8</xdr:col>
      <xdr:colOff>371475</xdr:colOff>
      <xdr:row>10</xdr:row>
      <xdr:rowOff>123825</xdr:rowOff>
    </xdr:from>
    <xdr:to>
      <xdr:col>12</xdr:col>
      <xdr:colOff>483870</xdr:colOff>
      <xdr:row>13</xdr:row>
      <xdr:rowOff>87053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33D206D-47FB-47FB-BF06-79985DDDD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86700" y="2905125"/>
          <a:ext cx="3169920" cy="591878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274320</xdr:colOff>
      <xdr:row>21</xdr:row>
      <xdr:rowOff>38100</xdr:rowOff>
    </xdr:from>
    <xdr:to>
      <xdr:col>1</xdr:col>
      <xdr:colOff>507310</xdr:colOff>
      <xdr:row>23</xdr:row>
      <xdr:rowOff>14743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B9A8B92-7D40-48D6-B62A-0C7FE01FA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4320" y="4514850"/>
          <a:ext cx="1918915" cy="395743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160021</xdr:colOff>
      <xdr:row>24</xdr:row>
      <xdr:rowOff>83820</xdr:rowOff>
    </xdr:from>
    <xdr:to>
      <xdr:col>1</xdr:col>
      <xdr:colOff>561975</xdr:colOff>
      <xdr:row>25</xdr:row>
      <xdr:rowOff>185447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975139C-0CBC-4DD5-A724-88E9DE572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0021" y="5360670"/>
          <a:ext cx="2087879" cy="4064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G\Downloads\ADSP_&#44228;&#49328;&#47928;&#51228;%20(4).xlsx" TargetMode="External"/><Relationship Id="rId1" Type="http://schemas.openxmlformats.org/officeDocument/2006/relationships/externalLinkPath" Target="ADSP_&#44228;&#49328;&#47928;&#51228;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ash course"/>
      <sheetName val="covarianc_correlation"/>
      <sheetName val="linear regression"/>
      <sheetName val="__Solver__"/>
      <sheetName val="__Solver___conflict482289707"/>
      <sheetName val="simple linear regression"/>
      <sheetName val="bias_variance"/>
      <sheetName val="logistic function"/>
      <sheetName val="logistic regression"/>
      <sheetName val="KNN_classification"/>
      <sheetName val="gini"/>
      <sheetName val="confusion matrix"/>
      <sheetName val="loss function_logloss"/>
      <sheetName val="log loss plot"/>
      <sheetName val="PCA"/>
      <sheetName val="Hierachy Clustering"/>
      <sheetName val="KNN_clustering"/>
      <sheetName val="Lift curve"/>
      <sheetName val="경사하강(Stochastigradient descent)"/>
      <sheetName val="Association Rule_01"/>
      <sheetName val="Association Rule_02"/>
      <sheetName val="odds"/>
      <sheetName val="log"/>
      <sheetName val="__OpenSolverCache__"/>
      <sheetName val="__OpenSolver_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 t="str">
            <v>Node 1</v>
          </cell>
          <cell r="C2" t="str">
            <v>Node 2</v>
          </cell>
          <cell r="D2" t="str">
            <v>Node 3</v>
          </cell>
          <cell r="E2" t="str">
            <v>Node 4</v>
          </cell>
          <cell r="F2" t="str">
            <v>Node 5</v>
          </cell>
          <cell r="G2" t="str">
            <v>Node 6</v>
          </cell>
          <cell r="H2" t="str">
            <v>Node 7</v>
          </cell>
          <cell r="I2" t="str">
            <v>Node 8</v>
          </cell>
          <cell r="J2" t="str">
            <v>Node 9</v>
          </cell>
          <cell r="K2" t="str">
            <v>Node 10</v>
          </cell>
          <cell r="L2" t="str">
            <v>Node 11</v>
          </cell>
        </row>
        <row r="7">
          <cell r="A7" t="str">
            <v>p*(1-p)</v>
          </cell>
          <cell r="B7">
            <v>9.9999000000000006E-6</v>
          </cell>
          <cell r="C7">
            <v>8.9999999999999983E-2</v>
          </cell>
          <cell r="D7">
            <v>0.15999999999999998</v>
          </cell>
          <cell r="E7">
            <v>0.21000000000000002</v>
          </cell>
          <cell r="F7">
            <v>0.24</v>
          </cell>
          <cell r="G7">
            <v>0.25</v>
          </cell>
          <cell r="H7">
            <v>0.24</v>
          </cell>
          <cell r="I7">
            <v>0.21</v>
          </cell>
          <cell r="J7">
            <v>0.16000000000000003</v>
          </cell>
          <cell r="K7">
            <v>9.0000000000000011E-2</v>
          </cell>
          <cell r="L7">
            <v>9.9998999999544912E-6</v>
          </cell>
        </row>
        <row r="8">
          <cell r="A8" t="str">
            <v>gini = 2*p*(1-p)</v>
          </cell>
          <cell r="B8">
            <v>1.9999800000000001E-5</v>
          </cell>
          <cell r="C8">
            <v>0.17999999999999997</v>
          </cell>
          <cell r="D8">
            <v>0.31999999999999995</v>
          </cell>
          <cell r="E8">
            <v>0.42000000000000004</v>
          </cell>
          <cell r="F8">
            <v>0.48</v>
          </cell>
          <cell r="G8">
            <v>0.5</v>
          </cell>
          <cell r="H8">
            <v>0.48</v>
          </cell>
          <cell r="I8">
            <v>0.42</v>
          </cell>
          <cell r="J8">
            <v>0.32000000000000006</v>
          </cell>
          <cell r="K8">
            <v>0.18000000000000002</v>
          </cell>
          <cell r="L8">
            <v>1.9999799999908982E-5</v>
          </cell>
        </row>
        <row r="9">
          <cell r="A9" t="str">
            <v>entropy</v>
          </cell>
          <cell r="B9">
            <v>1.8052328301819962E-4</v>
          </cell>
          <cell r="C9">
            <v>0.46899559358928117</v>
          </cell>
          <cell r="D9">
            <v>0.72192809488736231</v>
          </cell>
          <cell r="E9">
            <v>0.8812908992306927</v>
          </cell>
          <cell r="F9">
            <v>0.97095059445466858</v>
          </cell>
          <cell r="G9">
            <v>1</v>
          </cell>
          <cell r="H9">
            <v>0.97095059445466858</v>
          </cell>
          <cell r="I9">
            <v>0.8812908992306927</v>
          </cell>
          <cell r="J9">
            <v>0.72192809488736231</v>
          </cell>
          <cell r="K9">
            <v>0.46899559358928122</v>
          </cell>
          <cell r="L9">
            <v>1.8052328301750936E-4</v>
          </cell>
        </row>
        <row r="10">
          <cell r="A10" t="str">
            <v>miss clarification</v>
          </cell>
          <cell r="B10">
            <v>9.9999999999544897E-6</v>
          </cell>
          <cell r="C10">
            <v>9.9999999999999978E-2</v>
          </cell>
          <cell r="D10">
            <v>0.19999999999999996</v>
          </cell>
          <cell r="E10">
            <v>0.30000000000000004</v>
          </cell>
          <cell r="F10">
            <v>0.4</v>
          </cell>
          <cell r="G10">
            <v>0.5</v>
          </cell>
          <cell r="H10">
            <v>0.4</v>
          </cell>
          <cell r="I10">
            <v>0.30000000000000004</v>
          </cell>
          <cell r="J10">
            <v>0.19999999999999996</v>
          </cell>
          <cell r="K10">
            <v>9.9999999999999978E-2</v>
          </cell>
          <cell r="L10">
            <v>9.9999999999544897E-6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4F33-80D8-4E2A-8FF3-A8DBA939FB06}">
  <dimension ref="A1:Z1003"/>
  <sheetViews>
    <sheetView showGridLines="0" tabSelected="1" workbookViewId="0">
      <selection activeCell="D5" sqref="D5"/>
    </sheetView>
  </sheetViews>
  <sheetFormatPr defaultColWidth="11.125" defaultRowHeight="15.75" customHeight="1" x14ac:dyDescent="0.3"/>
  <cols>
    <col min="1" max="1" width="28.5" style="2" bestFit="1" customWidth="1"/>
    <col min="2" max="2" width="13.875" style="2" bestFit="1" customWidth="1"/>
    <col min="3" max="11" width="9.375" style="2" customWidth="1"/>
    <col min="12" max="12" width="12" style="2" customWidth="1"/>
    <col min="13" max="16384" width="11.125" style="2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.45" customHeight="1" x14ac:dyDescent="0.3">
      <c r="A3" s="5" t="s">
        <v>12</v>
      </c>
      <c r="B3" s="6">
        <v>10</v>
      </c>
      <c r="C3" s="6">
        <f t="shared" ref="C3:L3" si="0">B3-1</f>
        <v>9</v>
      </c>
      <c r="D3" s="6">
        <f t="shared" si="0"/>
        <v>8</v>
      </c>
      <c r="E3" s="6">
        <f t="shared" si="0"/>
        <v>7</v>
      </c>
      <c r="F3" s="6">
        <f t="shared" si="0"/>
        <v>6</v>
      </c>
      <c r="G3" s="6">
        <f t="shared" si="0"/>
        <v>5</v>
      </c>
      <c r="H3" s="6">
        <f t="shared" si="0"/>
        <v>4</v>
      </c>
      <c r="I3" s="6">
        <f t="shared" si="0"/>
        <v>3</v>
      </c>
      <c r="J3" s="6">
        <f t="shared" si="0"/>
        <v>2</v>
      </c>
      <c r="K3" s="6">
        <f t="shared" si="0"/>
        <v>1</v>
      </c>
      <c r="L3" s="6">
        <f t="shared" si="0"/>
        <v>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.45" customHeight="1" x14ac:dyDescent="0.3">
      <c r="A4" s="7" t="s">
        <v>13</v>
      </c>
      <c r="B4" s="8">
        <v>0</v>
      </c>
      <c r="C4" s="8">
        <f t="shared" ref="C4:L4" si="1">B4+1</f>
        <v>1</v>
      </c>
      <c r="D4" s="8">
        <f t="shared" si="1"/>
        <v>2</v>
      </c>
      <c r="E4" s="8">
        <f t="shared" si="1"/>
        <v>3</v>
      </c>
      <c r="F4" s="8">
        <f t="shared" si="1"/>
        <v>4</v>
      </c>
      <c r="G4" s="8">
        <f t="shared" si="1"/>
        <v>5</v>
      </c>
      <c r="H4" s="8">
        <f t="shared" si="1"/>
        <v>6</v>
      </c>
      <c r="I4" s="8">
        <f t="shared" si="1"/>
        <v>7</v>
      </c>
      <c r="J4" s="8">
        <f t="shared" si="1"/>
        <v>8</v>
      </c>
      <c r="K4" s="8">
        <f t="shared" si="1"/>
        <v>9</v>
      </c>
      <c r="L4" s="8">
        <f t="shared" si="1"/>
        <v>10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3.45" customHeight="1" x14ac:dyDescent="0.3">
      <c r="A5" s="9" t="s">
        <v>14</v>
      </c>
      <c r="B5" s="10">
        <v>1.0000000000000001E-5</v>
      </c>
      <c r="C5" s="6">
        <f t="shared" ref="C5:K5" si="2">C3/10</f>
        <v>0.9</v>
      </c>
      <c r="D5" s="6">
        <f t="shared" si="2"/>
        <v>0.8</v>
      </c>
      <c r="E5" s="6">
        <f t="shared" si="2"/>
        <v>0.7</v>
      </c>
      <c r="F5" s="6">
        <f t="shared" si="2"/>
        <v>0.6</v>
      </c>
      <c r="G5" s="6">
        <f t="shared" si="2"/>
        <v>0.5</v>
      </c>
      <c r="H5" s="6">
        <f t="shared" si="2"/>
        <v>0.4</v>
      </c>
      <c r="I5" s="6">
        <f t="shared" si="2"/>
        <v>0.3</v>
      </c>
      <c r="J5" s="6">
        <f t="shared" si="2"/>
        <v>0.2</v>
      </c>
      <c r="K5" s="6">
        <f t="shared" si="2"/>
        <v>0.1</v>
      </c>
      <c r="L5" s="10">
        <f>B6</f>
        <v>0.99999000000000005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3.45" customHeight="1" x14ac:dyDescent="0.3">
      <c r="A6" s="9" t="s">
        <v>15</v>
      </c>
      <c r="B6" s="10">
        <f>1-B5</f>
        <v>0.99999000000000005</v>
      </c>
      <c r="C6" s="6">
        <f t="shared" ref="C6:L6" si="3">1-C5</f>
        <v>9.9999999999999978E-2</v>
      </c>
      <c r="D6" s="6">
        <f t="shared" si="3"/>
        <v>0.19999999999999996</v>
      </c>
      <c r="E6" s="6">
        <f t="shared" si="3"/>
        <v>0.30000000000000004</v>
      </c>
      <c r="F6" s="6">
        <f t="shared" si="3"/>
        <v>0.4</v>
      </c>
      <c r="G6" s="6">
        <f t="shared" si="3"/>
        <v>0.5</v>
      </c>
      <c r="H6" s="6">
        <f t="shared" si="3"/>
        <v>0.6</v>
      </c>
      <c r="I6" s="6">
        <f t="shared" si="3"/>
        <v>0.7</v>
      </c>
      <c r="J6" s="6">
        <f t="shared" si="3"/>
        <v>0.8</v>
      </c>
      <c r="K6" s="6">
        <f t="shared" si="3"/>
        <v>0.9</v>
      </c>
      <c r="L6" s="10">
        <f t="shared" si="3"/>
        <v>9.9999999999544897E-6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45" customHeight="1" x14ac:dyDescent="0.3">
      <c r="A7" s="11" t="s">
        <v>16</v>
      </c>
      <c r="B7" s="12">
        <f t="shared" ref="B7:L7" si="4">B5*B6</f>
        <v>9.9999000000000006E-6</v>
      </c>
      <c r="C7" s="12">
        <f t="shared" si="4"/>
        <v>8.9999999999999983E-2</v>
      </c>
      <c r="D7" s="12">
        <f t="shared" si="4"/>
        <v>0.15999999999999998</v>
      </c>
      <c r="E7" s="12">
        <f t="shared" si="4"/>
        <v>0.21000000000000002</v>
      </c>
      <c r="F7" s="12">
        <f t="shared" si="4"/>
        <v>0.24</v>
      </c>
      <c r="G7" s="12">
        <f t="shared" si="4"/>
        <v>0.25</v>
      </c>
      <c r="H7" s="12">
        <f t="shared" si="4"/>
        <v>0.24</v>
      </c>
      <c r="I7" s="12">
        <f t="shared" si="4"/>
        <v>0.21</v>
      </c>
      <c r="J7" s="12">
        <f t="shared" si="4"/>
        <v>0.16000000000000003</v>
      </c>
      <c r="K7" s="12">
        <f t="shared" si="4"/>
        <v>9.0000000000000011E-2</v>
      </c>
      <c r="L7" s="12">
        <f t="shared" si="4"/>
        <v>9.9998999999544912E-6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3.45" customHeight="1" x14ac:dyDescent="0.3">
      <c r="A8" s="13" t="s">
        <v>17</v>
      </c>
      <c r="B8" s="14">
        <f t="shared" ref="B8:L8" si="5">B7*2</f>
        <v>1.9999800000000001E-5</v>
      </c>
      <c r="C8" s="14">
        <f t="shared" si="5"/>
        <v>0.17999999999999997</v>
      </c>
      <c r="D8" s="14">
        <f t="shared" si="5"/>
        <v>0.31999999999999995</v>
      </c>
      <c r="E8" s="14">
        <f t="shared" si="5"/>
        <v>0.42000000000000004</v>
      </c>
      <c r="F8" s="14">
        <f t="shared" si="5"/>
        <v>0.48</v>
      </c>
      <c r="G8" s="14">
        <f t="shared" si="5"/>
        <v>0.5</v>
      </c>
      <c r="H8" s="14">
        <f t="shared" si="5"/>
        <v>0.48</v>
      </c>
      <c r="I8" s="14">
        <f t="shared" si="5"/>
        <v>0.42</v>
      </c>
      <c r="J8" s="14">
        <f t="shared" si="5"/>
        <v>0.32000000000000006</v>
      </c>
      <c r="K8" s="14">
        <f t="shared" si="5"/>
        <v>0.18000000000000002</v>
      </c>
      <c r="L8" s="14">
        <f t="shared" si="5"/>
        <v>1.9999799999908982E-5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3.45" customHeight="1" x14ac:dyDescent="0.3">
      <c r="A9" s="11" t="s">
        <v>18</v>
      </c>
      <c r="B9" s="15">
        <f t="shared" ref="B9:L9" si="6">-(B5*LOG(B5, 2) + (1-B5)*LOG((1-B5), 2))</f>
        <v>1.8052328301819962E-4</v>
      </c>
      <c r="C9" s="15">
        <f>-(C5*LOG(C5, 2) + (1-C5)*LOG((1-C5), 2))</f>
        <v>0.46899559358928117</v>
      </c>
      <c r="D9" s="15">
        <f t="shared" si="6"/>
        <v>0.72192809488736231</v>
      </c>
      <c r="E9" s="15">
        <f t="shared" si="6"/>
        <v>0.8812908992306927</v>
      </c>
      <c r="F9" s="15">
        <f t="shared" si="6"/>
        <v>0.97095059445466858</v>
      </c>
      <c r="G9" s="15">
        <f t="shared" si="6"/>
        <v>1</v>
      </c>
      <c r="H9" s="15">
        <f t="shared" si="6"/>
        <v>0.97095059445466858</v>
      </c>
      <c r="I9" s="15">
        <f t="shared" si="6"/>
        <v>0.8812908992306927</v>
      </c>
      <c r="J9" s="15">
        <f t="shared" si="6"/>
        <v>0.72192809488736231</v>
      </c>
      <c r="K9" s="15">
        <f t="shared" si="6"/>
        <v>0.46899559358928122</v>
      </c>
      <c r="L9" s="15">
        <f t="shared" si="6"/>
        <v>1.8052328301750936E-4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3.45" customHeight="1" x14ac:dyDescent="0.3">
      <c r="A10" s="11" t="s">
        <v>19</v>
      </c>
      <c r="B10" s="12">
        <f t="shared" ref="B10:L10" si="7">1-MAX(B5, (1-B5))</f>
        <v>9.9999999999544897E-6</v>
      </c>
      <c r="C10" s="12">
        <f t="shared" si="7"/>
        <v>9.9999999999999978E-2</v>
      </c>
      <c r="D10" s="12">
        <f t="shared" si="7"/>
        <v>0.19999999999999996</v>
      </c>
      <c r="E10" s="12">
        <f t="shared" si="7"/>
        <v>0.30000000000000004</v>
      </c>
      <c r="F10" s="12">
        <f t="shared" si="7"/>
        <v>0.4</v>
      </c>
      <c r="G10" s="12">
        <f t="shared" si="7"/>
        <v>0.5</v>
      </c>
      <c r="H10" s="12">
        <f t="shared" si="7"/>
        <v>0.4</v>
      </c>
      <c r="I10" s="12">
        <f t="shared" si="7"/>
        <v>0.30000000000000004</v>
      </c>
      <c r="J10" s="12">
        <f t="shared" si="7"/>
        <v>0.19999999999999996</v>
      </c>
      <c r="K10" s="12">
        <f t="shared" si="7"/>
        <v>9.9999999999999978E-2</v>
      </c>
      <c r="L10" s="12">
        <f t="shared" si="7"/>
        <v>9.9999999999544897E-6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x14ac:dyDescent="0.3">
      <c r="A16" s="1"/>
      <c r="B16" s="1" t="s">
        <v>20</v>
      </c>
      <c r="C16" s="1"/>
      <c r="D16" s="1"/>
      <c r="E16" s="1"/>
      <c r="F16" s="1"/>
      <c r="G16" s="1" t="s">
        <v>21</v>
      </c>
      <c r="H16" s="1"/>
      <c r="I16" s="1"/>
      <c r="J16" s="1"/>
      <c r="K16" s="1"/>
      <c r="L16" s="1" t="s">
        <v>20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x14ac:dyDescent="0.3">
      <c r="A21" s="16" t="s">
        <v>22</v>
      </c>
      <c r="B21" s="15">
        <f>-(B5*LOG(B5,2))</f>
        <v>1.6609640474436814E-4</v>
      </c>
      <c r="C21" s="15">
        <f>-(C5*LOG(C5,2))</f>
        <v>0.13680278410054497</v>
      </c>
      <c r="D21" s="15">
        <f t="shared" ref="D21:L21" si="8">-(D5*LOG(D5,2))</f>
        <v>0.25754247590988982</v>
      </c>
      <c r="E21" s="15">
        <f t="shared" si="8"/>
        <v>0.36020122098083079</v>
      </c>
      <c r="F21" s="15">
        <f t="shared" si="8"/>
        <v>0.44217935649972373</v>
      </c>
      <c r="G21" s="15">
        <f t="shared" si="8"/>
        <v>0.5</v>
      </c>
      <c r="H21" s="15">
        <f t="shared" si="8"/>
        <v>0.52877123795494485</v>
      </c>
      <c r="I21" s="15">
        <f t="shared" si="8"/>
        <v>0.52108967824986185</v>
      </c>
      <c r="J21" s="15">
        <f t="shared" si="8"/>
        <v>0.46438561897747244</v>
      </c>
      <c r="K21" s="15">
        <f t="shared" si="8"/>
        <v>0.33219280948873625</v>
      </c>
      <c r="L21" s="15">
        <f t="shared" si="8"/>
        <v>1.4426878273831482E-5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8.9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x14ac:dyDescent="0.3">
      <c r="A24" s="17" t="s">
        <v>23</v>
      </c>
      <c r="B24" s="18">
        <f>-(B5*LOG(B6,2)+B6*LOG(B5,2))</f>
        <v>16.609474378176337</v>
      </c>
      <c r="C24" s="18">
        <f>-(C5*LOG(C6,2)+C6*LOG(C5,2))</f>
        <v>3.0049355947431313</v>
      </c>
      <c r="D24" s="18">
        <f t="shared" ref="D24:L24" si="9">-(D5*LOG(D6,2)+D6*LOG(D5,2))</f>
        <v>1.9219280948873627</v>
      </c>
      <c r="E24" s="18">
        <f t="shared" si="9"/>
        <v>1.3702478677652716</v>
      </c>
      <c r="F24" s="18">
        <f t="shared" si="9"/>
        <v>1.0879430945988999</v>
      </c>
      <c r="G24" s="18">
        <f t="shared" si="9"/>
        <v>1</v>
      </c>
      <c r="H24" s="18">
        <f t="shared" si="9"/>
        <v>1.0879430945988999</v>
      </c>
      <c r="I24" s="18">
        <f t="shared" si="9"/>
        <v>1.3702478677652719</v>
      </c>
      <c r="J24" s="18">
        <f t="shared" si="9"/>
        <v>1.9219280948873623</v>
      </c>
      <c r="K24" s="18">
        <f t="shared" si="9"/>
        <v>3.0049355947431309</v>
      </c>
      <c r="L24" s="18">
        <f t="shared" si="9"/>
        <v>16.609474378182902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x14ac:dyDescent="0.3">
      <c r="A30" s="19" t="s">
        <v>24</v>
      </c>
      <c r="B30" s="4" t="s">
        <v>1</v>
      </c>
      <c r="C30" s="4" t="s">
        <v>2</v>
      </c>
      <c r="D30" s="4" t="s">
        <v>3</v>
      </c>
      <c r="E30" s="4" t="s">
        <v>4</v>
      </c>
      <c r="F30" s="4" t="s">
        <v>5</v>
      </c>
      <c r="G30" s="4" t="s">
        <v>6</v>
      </c>
      <c r="H30" s="4" t="s">
        <v>7</v>
      </c>
      <c r="I30" s="4" t="s">
        <v>8</v>
      </c>
      <c r="J30" s="4" t="s">
        <v>9</v>
      </c>
      <c r="K30" s="4" t="s">
        <v>10</v>
      </c>
      <c r="L30" s="4" t="s">
        <v>11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149999999999999" customHeight="1" x14ac:dyDescent="0.3">
      <c r="A31" s="9" t="s">
        <v>25</v>
      </c>
      <c r="B31" s="20">
        <f t="shared" ref="B31:L32" si="10">1/B5</f>
        <v>99999.999999999985</v>
      </c>
      <c r="C31" s="20">
        <f t="shared" si="10"/>
        <v>1.1111111111111112</v>
      </c>
      <c r="D31" s="20">
        <f t="shared" si="10"/>
        <v>1.25</v>
      </c>
      <c r="E31" s="20">
        <f t="shared" si="10"/>
        <v>1.4285714285714286</v>
      </c>
      <c r="F31" s="20">
        <f t="shared" si="10"/>
        <v>1.6666666666666667</v>
      </c>
      <c r="G31" s="20">
        <f t="shared" si="10"/>
        <v>2</v>
      </c>
      <c r="H31" s="20">
        <f t="shared" si="10"/>
        <v>2.5</v>
      </c>
      <c r="I31" s="20">
        <f t="shared" si="10"/>
        <v>3.3333333333333335</v>
      </c>
      <c r="J31" s="20">
        <f t="shared" si="10"/>
        <v>5</v>
      </c>
      <c r="K31" s="20">
        <f t="shared" si="10"/>
        <v>10</v>
      </c>
      <c r="L31" s="20">
        <f t="shared" si="10"/>
        <v>1.000010000100001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149999999999999" customHeight="1" x14ac:dyDescent="0.3">
      <c r="A32" s="9" t="s">
        <v>26</v>
      </c>
      <c r="B32" s="20">
        <f t="shared" si="10"/>
        <v>1.000010000100001</v>
      </c>
      <c r="C32" s="20">
        <f t="shared" si="10"/>
        <v>10.000000000000002</v>
      </c>
      <c r="D32" s="20">
        <f t="shared" si="10"/>
        <v>5.0000000000000009</v>
      </c>
      <c r="E32" s="20">
        <f t="shared" si="10"/>
        <v>3.333333333333333</v>
      </c>
      <c r="F32" s="20">
        <f t="shared" si="10"/>
        <v>2.5</v>
      </c>
      <c r="G32" s="20">
        <f t="shared" si="10"/>
        <v>2</v>
      </c>
      <c r="H32" s="20">
        <f t="shared" si="10"/>
        <v>1.6666666666666667</v>
      </c>
      <c r="I32" s="20">
        <f t="shared" si="10"/>
        <v>1.4285714285714286</v>
      </c>
      <c r="J32" s="20">
        <f t="shared" si="10"/>
        <v>1.25</v>
      </c>
      <c r="K32" s="20">
        <f t="shared" si="10"/>
        <v>1.1111111111111112</v>
      </c>
      <c r="L32" s="20">
        <f t="shared" si="10"/>
        <v>100000.0000004551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조상구</dc:creator>
  <cp:lastModifiedBy>조상구</cp:lastModifiedBy>
  <dcterms:created xsi:type="dcterms:W3CDTF">2026-05-15T06:53:05Z</dcterms:created>
  <dcterms:modified xsi:type="dcterms:W3CDTF">2026-05-15T06:53:55Z</dcterms:modified>
</cp:coreProperties>
</file>