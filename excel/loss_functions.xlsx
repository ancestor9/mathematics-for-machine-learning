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조근하\Downloads\"/>
    </mc:Choice>
  </mc:AlternateContent>
  <xr:revisionPtr revIDLastSave="0" documentId="8_{2407E4F3-59A0-4E95-8D3F-90EBADE5E491}" xr6:coauthVersionLast="47" xr6:coauthVersionMax="47" xr10:uidLastSave="{00000000-0000-0000-0000-000000000000}"/>
  <bookViews>
    <workbookView xWindow="-108" yWindow="-108" windowWidth="23256" windowHeight="12456" xr2:uid="{064F2A64-9CD9-400C-9F24-93DDEFEC9914}"/>
  </bookViews>
  <sheets>
    <sheet name="Log-Loss" sheetId="1" r:id="rId1"/>
    <sheet name="Cross-Entropy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2" l="1"/>
  <c r="B6" i="2" s="1"/>
  <c r="C6" i="2" s="1"/>
  <c r="A7" i="2"/>
  <c r="B7" i="2" s="1"/>
  <c r="C7" i="2" s="1"/>
  <c r="A8" i="2"/>
  <c r="B8" i="2" s="1"/>
  <c r="A9" i="2"/>
  <c r="B9" i="2" s="1"/>
  <c r="A10" i="2"/>
  <c r="B10" i="2" s="1"/>
  <c r="C10" i="2" s="1"/>
  <c r="A11" i="2"/>
  <c r="B11" i="2" s="1"/>
  <c r="A12" i="2"/>
  <c r="B12" i="2" s="1"/>
  <c r="A13" i="2"/>
  <c r="B13" i="2" s="1"/>
  <c r="C13" i="2" s="1"/>
  <c r="E4" i="2"/>
  <c r="F4" i="2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A5" i="2"/>
  <c r="B5" i="2" s="1"/>
  <c r="C5" i="2" s="1"/>
  <c r="D13" i="2"/>
  <c r="D12" i="2"/>
  <c r="D11" i="2"/>
  <c r="D10" i="2"/>
  <c r="D9" i="2"/>
  <c r="D8" i="2"/>
  <c r="D7" i="2"/>
  <c r="D6" i="2"/>
  <c r="D5" i="2"/>
  <c r="D4" i="2"/>
  <c r="A4" i="2"/>
  <c r="B4" i="2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4" i="1"/>
  <c r="H4" i="1" s="1"/>
  <c r="B4" i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A5" i="1"/>
  <c r="A6" i="1"/>
  <c r="A7" i="1"/>
  <c r="A8" i="1"/>
  <c r="A9" i="1"/>
  <c r="A10" i="1"/>
  <c r="A11" i="1"/>
  <c r="A12" i="1"/>
  <c r="A13" i="1"/>
  <c r="A4" i="1"/>
  <c r="E4" i="1" s="1"/>
  <c r="C12" i="2" l="1"/>
  <c r="C9" i="2"/>
  <c r="C8" i="2"/>
  <c r="C11" i="2"/>
  <c r="G12" i="2"/>
  <c r="G4" i="2"/>
  <c r="I7" i="2"/>
  <c r="I11" i="2"/>
  <c r="H11" i="2"/>
  <c r="I9" i="2"/>
  <c r="H7" i="2"/>
  <c r="H12" i="2"/>
  <c r="H8" i="2"/>
  <c r="I12" i="2"/>
  <c r="I10" i="2"/>
  <c r="H10" i="2"/>
  <c r="H6" i="2"/>
  <c r="I13" i="2"/>
  <c r="I5" i="2"/>
  <c r="H13" i="2"/>
  <c r="H9" i="2"/>
  <c r="H5" i="2"/>
  <c r="I8" i="2"/>
  <c r="G10" i="2"/>
  <c r="M10" i="2" s="1"/>
  <c r="G9" i="2"/>
  <c r="G6" i="2"/>
  <c r="G11" i="2"/>
  <c r="I6" i="2"/>
  <c r="G8" i="2"/>
  <c r="G7" i="2"/>
  <c r="G13" i="2"/>
  <c r="G5" i="2"/>
  <c r="M5" i="2" s="1"/>
  <c r="I4" i="2"/>
  <c r="H4" i="2"/>
  <c r="C4" i="2"/>
  <c r="J7" i="1"/>
  <c r="J4" i="1"/>
  <c r="I6" i="1"/>
  <c r="I5" i="1"/>
  <c r="I12" i="1"/>
  <c r="I13" i="1"/>
  <c r="J12" i="1"/>
  <c r="J11" i="1"/>
  <c r="J10" i="1"/>
  <c r="J9" i="1"/>
  <c r="J8" i="1"/>
  <c r="J6" i="1"/>
  <c r="J13" i="1"/>
  <c r="J5" i="1"/>
  <c r="I7" i="1"/>
  <c r="I11" i="1"/>
  <c r="I10" i="1"/>
  <c r="I8" i="1"/>
  <c r="I9" i="1"/>
  <c r="I4" i="1"/>
  <c r="E10" i="1"/>
  <c r="D11" i="1"/>
  <c r="D5" i="1"/>
  <c r="D12" i="1"/>
  <c r="D6" i="1"/>
  <c r="D8" i="1"/>
  <c r="D13" i="1"/>
  <c r="D7" i="1"/>
  <c r="E8" i="1"/>
  <c r="D9" i="1"/>
  <c r="D10" i="1"/>
  <c r="E13" i="1"/>
  <c r="E7" i="1"/>
  <c r="D4" i="1"/>
  <c r="E12" i="1"/>
  <c r="E6" i="1"/>
  <c r="E11" i="1"/>
  <c r="E9" i="1"/>
  <c r="E5" i="1"/>
  <c r="M13" i="2" l="1"/>
  <c r="M7" i="2"/>
  <c r="M8" i="2"/>
  <c r="M9" i="2"/>
  <c r="M6" i="2"/>
  <c r="M12" i="2"/>
  <c r="M11" i="2"/>
  <c r="M4" i="2"/>
  <c r="L12" i="2"/>
  <c r="L5" i="2"/>
  <c r="L7" i="2"/>
  <c r="L4" i="2"/>
  <c r="L13" i="2"/>
  <c r="L6" i="2"/>
  <c r="L11" i="2"/>
  <c r="L8" i="2"/>
  <c r="L10" i="2"/>
  <c r="L9" i="2"/>
  <c r="J12" i="2"/>
  <c r="J7" i="2"/>
  <c r="J11" i="2"/>
  <c r="J6" i="2"/>
  <c r="J9" i="2"/>
  <c r="J10" i="2"/>
  <c r="J5" i="2"/>
  <c r="J13" i="2"/>
  <c r="J8" i="2"/>
  <c r="J4" i="2"/>
  <c r="J14" i="1"/>
  <c r="I14" i="1"/>
  <c r="E14" i="1"/>
  <c r="D14" i="1"/>
  <c r="L14" i="2" l="1"/>
  <c r="E15" i="1"/>
  <c r="J15" i="1"/>
  <c r="F17" i="1" l="1"/>
</calcChain>
</file>

<file path=xl/sharedStrings.xml><?xml version="1.0" encoding="utf-8"?>
<sst xmlns="http://schemas.openxmlformats.org/spreadsheetml/2006/main" count="32" uniqueCount="24">
  <si>
    <t>y*log(p)</t>
  </si>
  <si>
    <t>(1-y)*log(1-p)</t>
  </si>
  <si>
    <t>Log-Loss</t>
    <phoneticPr fontId="2" type="noConversion"/>
  </si>
  <si>
    <t>p : p(y=1)</t>
    <phoneticPr fontId="2" type="noConversion"/>
  </si>
  <si>
    <t>Model A</t>
    <phoneticPr fontId="2" type="noConversion"/>
  </si>
  <si>
    <t>Model B</t>
    <phoneticPr fontId="2" type="noConversion"/>
  </si>
  <si>
    <t>sum of log loss</t>
    <phoneticPr fontId="2" type="noConversion"/>
  </si>
  <si>
    <t>Total sum of log loss</t>
    <phoneticPr fontId="2" type="noConversion"/>
  </si>
  <si>
    <t>y_hat</t>
    <phoneticPr fontId="2" type="noConversion"/>
  </si>
  <si>
    <t>y (actual)</t>
    <phoneticPr fontId="2" type="noConversion"/>
  </si>
  <si>
    <t xml:space="preserve">모델 </t>
    <phoneticPr fontId="2" type="noConversion"/>
  </si>
  <si>
    <t>가 더 우수함</t>
    <phoneticPr fontId="2" type="noConversion"/>
  </si>
  <si>
    <t>`</t>
    <phoneticPr fontId="2" type="noConversion"/>
  </si>
  <si>
    <t>Cross-Entropy</t>
    <phoneticPr fontId="2" type="noConversion"/>
  </si>
  <si>
    <t>p(y=1)</t>
    <phoneticPr fontId="2" type="noConversion"/>
  </si>
  <si>
    <t>p(y=2)</t>
  </si>
  <si>
    <t>p(y=3)</t>
  </si>
  <si>
    <t>RAND()</t>
    <phoneticPr fontId="2" type="noConversion"/>
  </si>
  <si>
    <t>total</t>
    <phoneticPr fontId="2" type="noConversion"/>
  </si>
  <si>
    <t>softmax(generate probability)</t>
    <phoneticPr fontId="2" type="noConversion"/>
  </si>
  <si>
    <t>H(P, Q)</t>
    <phoneticPr fontId="2" type="noConversion"/>
  </si>
  <si>
    <t>inner product</t>
    <phoneticPr fontId="2" type="noConversion"/>
  </si>
  <si>
    <t xml:space="preserve">단순계산 </t>
    <phoneticPr fontId="2" type="noConversion"/>
  </si>
  <si>
    <t>Total Loss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</si>
</sst>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7" formatCode="_-* #,##0.00_-;\-* #,##0.00_-;_-* &quot;-&quot;_-;_-@_-"/>
    <numFmt numFmtId="179" formatCode="#,##0.00_ "/>
    <numFmt numFmtId="182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24"/>
      <name val="D2Coding"/>
      <family val="3"/>
      <charset val="129"/>
    </font>
    <font>
      <sz val="18"/>
      <name val="D2Coding"/>
      <family val="3"/>
      <charset val="129"/>
    </font>
    <font>
      <b/>
      <sz val="18"/>
      <name val="D2Coding"/>
      <family val="3"/>
      <charset val="129"/>
    </font>
    <font>
      <b/>
      <sz val="18"/>
      <color theme="0"/>
      <name val="D2Coding"/>
      <family val="3"/>
      <charset val="129"/>
    </font>
    <font>
      <b/>
      <sz val="16"/>
      <name val="D2Coding"/>
      <family val="3"/>
      <charset val="129"/>
    </font>
    <font>
      <sz val="16"/>
      <name val="D2Coding"/>
      <family val="3"/>
      <charset val="129"/>
    </font>
    <font>
      <b/>
      <sz val="14"/>
      <name val="D2Coding"/>
      <family val="3"/>
      <charset val="129"/>
    </font>
    <font>
      <sz val="14"/>
      <name val="D2Coding"/>
      <family val="3"/>
      <charset val="129"/>
    </font>
    <font>
      <sz val="16"/>
      <color theme="0" tint="-0.34998626667073579"/>
      <name val="D2Coding"/>
      <family val="3"/>
      <charset val="129"/>
    </font>
    <font>
      <sz val="14"/>
      <color theme="1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177" fontId="3" fillId="0" borderId="0" xfId="1" applyNumberFormat="1" applyFont="1" applyAlignment="1">
      <alignment horizontal="right" vertical="center"/>
    </xf>
    <xf numFmtId="177" fontId="4" fillId="0" borderId="0" xfId="1" applyNumberFormat="1" applyFont="1" applyAlignment="1">
      <alignment horizontal="right" vertical="center"/>
    </xf>
    <xf numFmtId="177" fontId="5" fillId="0" borderId="9" xfId="1" applyNumberFormat="1" applyFont="1" applyBorder="1" applyAlignment="1">
      <alignment horizontal="center" vertical="center"/>
    </xf>
    <xf numFmtId="177" fontId="5" fillId="0" borderId="10" xfId="1" applyNumberFormat="1" applyFont="1" applyBorder="1" applyAlignment="1">
      <alignment horizontal="center" vertical="center"/>
    </xf>
    <xf numFmtId="177" fontId="5" fillId="0" borderId="11" xfId="1" applyNumberFormat="1" applyFont="1" applyBorder="1" applyAlignment="1">
      <alignment horizontal="center" vertical="center"/>
    </xf>
    <xf numFmtId="177" fontId="4" fillId="0" borderId="0" xfId="1" applyNumberFormat="1" applyFont="1" applyBorder="1" applyAlignment="1">
      <alignment horizontal="right" vertical="center"/>
    </xf>
    <xf numFmtId="177" fontId="4" fillId="0" borderId="1" xfId="1" applyNumberFormat="1" applyFont="1" applyBorder="1" applyAlignment="1">
      <alignment horizontal="right" vertical="center"/>
    </xf>
    <xf numFmtId="182" fontId="4" fillId="0" borderId="8" xfId="1" applyNumberFormat="1" applyFont="1" applyBorder="1" applyAlignment="1">
      <alignment horizontal="right" vertical="center"/>
    </xf>
    <xf numFmtId="182" fontId="4" fillId="0" borderId="0" xfId="1" applyNumberFormat="1" applyFont="1" applyBorder="1" applyAlignment="1">
      <alignment horizontal="right" vertical="center"/>
    </xf>
    <xf numFmtId="179" fontId="4" fillId="0" borderId="0" xfId="1" applyNumberFormat="1" applyFont="1" applyBorder="1" applyAlignment="1">
      <alignment horizontal="right" vertical="center"/>
    </xf>
    <xf numFmtId="182" fontId="4" fillId="0" borderId="6" xfId="1" applyNumberFormat="1" applyFont="1" applyBorder="1" applyAlignment="1">
      <alignment horizontal="right" vertical="center"/>
    </xf>
    <xf numFmtId="177" fontId="4" fillId="0" borderId="2" xfId="1" applyNumberFormat="1" applyFont="1" applyBorder="1" applyAlignment="1">
      <alignment horizontal="left" vertical="center"/>
    </xf>
    <xf numFmtId="177" fontId="4" fillId="0" borderId="3" xfId="1" applyNumberFormat="1" applyFont="1" applyBorder="1" applyAlignment="1">
      <alignment horizontal="right" vertical="center"/>
    </xf>
    <xf numFmtId="177" fontId="4" fillId="0" borderId="4" xfId="1" applyNumberFormat="1" applyFont="1" applyBorder="1" applyAlignment="1">
      <alignment horizontal="right" vertical="center"/>
    </xf>
    <xf numFmtId="177" fontId="4" fillId="0" borderId="2" xfId="1" applyNumberFormat="1" applyFont="1" applyBorder="1" applyAlignment="1">
      <alignment horizontal="right" vertical="center"/>
    </xf>
    <xf numFmtId="177" fontId="4" fillId="0" borderId="5" xfId="1" applyNumberFormat="1" applyFont="1" applyBorder="1" applyAlignment="1">
      <alignment horizontal="left" vertical="center"/>
    </xf>
    <xf numFmtId="177" fontId="4" fillId="0" borderId="6" xfId="1" applyNumberFormat="1" applyFont="1" applyBorder="1" applyAlignment="1">
      <alignment horizontal="right" vertical="center"/>
    </xf>
    <xf numFmtId="177" fontId="4" fillId="0" borderId="7" xfId="1" applyNumberFormat="1" applyFont="1" applyBorder="1" applyAlignment="1">
      <alignment horizontal="right" vertical="center"/>
    </xf>
    <xf numFmtId="177" fontId="4" fillId="0" borderId="5" xfId="1" applyNumberFormat="1" applyFont="1" applyBorder="1" applyAlignment="1">
      <alignment horizontal="right" vertical="center"/>
    </xf>
    <xf numFmtId="177" fontId="6" fillId="2" borderId="0" xfId="1" applyNumberFormat="1" applyFont="1" applyFill="1" applyAlignment="1">
      <alignment horizontal="right" vertical="center"/>
    </xf>
    <xf numFmtId="177" fontId="6" fillId="2" borderId="0" xfId="1" applyNumberFormat="1" applyFont="1" applyFill="1" applyAlignment="1">
      <alignment horizontal="left" vertical="center"/>
    </xf>
    <xf numFmtId="177" fontId="5" fillId="0" borderId="0" xfId="1" applyNumberFormat="1" applyFont="1" applyAlignment="1">
      <alignment horizontal="left" vertical="center"/>
    </xf>
    <xf numFmtId="177" fontId="8" fillId="0" borderId="0" xfId="1" applyNumberFormat="1" applyFont="1" applyAlignment="1">
      <alignment horizontal="right" vertical="center"/>
    </xf>
    <xf numFmtId="177" fontId="8" fillId="0" borderId="0" xfId="1" applyNumberFormat="1" applyFont="1" applyBorder="1" applyAlignment="1">
      <alignment horizontal="right" vertical="center"/>
    </xf>
    <xf numFmtId="182" fontId="8" fillId="0" borderId="0" xfId="1" applyNumberFormat="1" applyFont="1" applyBorder="1" applyAlignment="1">
      <alignment horizontal="right" vertical="center"/>
    </xf>
    <xf numFmtId="179" fontId="8" fillId="0" borderId="0" xfId="1" applyNumberFormat="1" applyFont="1" applyBorder="1" applyAlignment="1">
      <alignment horizontal="right" vertical="center"/>
    </xf>
    <xf numFmtId="177" fontId="9" fillId="0" borderId="0" xfId="1" applyNumberFormat="1" applyFont="1" applyAlignment="1">
      <alignment horizontal="left" vertical="center"/>
    </xf>
    <xf numFmtId="177" fontId="10" fillId="0" borderId="0" xfId="1" applyNumberFormat="1" applyFont="1" applyAlignment="1">
      <alignment horizontal="right" vertical="center"/>
    </xf>
    <xf numFmtId="177" fontId="10" fillId="0" borderId="0" xfId="1" applyNumberFormat="1" applyFont="1" applyBorder="1" applyAlignment="1">
      <alignment horizontal="right" vertical="center"/>
    </xf>
    <xf numFmtId="177" fontId="11" fillId="0" borderId="0" xfId="1" quotePrefix="1" applyNumberFormat="1" applyFont="1" applyAlignment="1">
      <alignment horizontal="right" vertical="center"/>
    </xf>
    <xf numFmtId="177" fontId="11" fillId="0" borderId="0" xfId="1" applyNumberFormat="1" applyFont="1" applyBorder="1" applyAlignment="1">
      <alignment horizontal="right" vertical="center"/>
    </xf>
    <xf numFmtId="179" fontId="11" fillId="0" borderId="0" xfId="1" applyNumberFormat="1" applyFont="1" applyBorder="1" applyAlignment="1">
      <alignment horizontal="right" vertical="center"/>
    </xf>
    <xf numFmtId="177" fontId="8" fillId="0" borderId="6" xfId="1" applyNumberFormat="1" applyFont="1" applyBorder="1" applyAlignment="1">
      <alignment horizontal="center" vertical="center"/>
    </xf>
    <xf numFmtId="177" fontId="8" fillId="0" borderId="10" xfId="1" applyNumberFormat="1" applyFont="1" applyBorder="1" applyAlignment="1">
      <alignment horizontal="right" vertical="center"/>
    </xf>
    <xf numFmtId="0" fontId="12" fillId="0" borderId="0" xfId="0" applyFont="1">
      <alignment vertical="center"/>
    </xf>
    <xf numFmtId="177" fontId="7" fillId="0" borderId="0" xfId="1" applyNumberFormat="1" applyFont="1" applyBorder="1" applyAlignment="1">
      <alignment horizontal="right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42334</xdr:colOff>
      <xdr:row>0</xdr:row>
      <xdr:rowOff>232834</xdr:rowOff>
    </xdr:from>
    <xdr:to>
      <xdr:col>3</xdr:col>
      <xdr:colOff>1320824</xdr:colOff>
      <xdr:row>0</xdr:row>
      <xdr:rowOff>690676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C8A7B801-0A51-4A98-B12E-63322EDDAD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8501" y="232834"/>
          <a:ext cx="4389990" cy="457842"/>
        </a:xfrm>
        <a:prstGeom prst="rect">
          <a:avLst/>
        </a:prstGeom>
      </xdr:spPr>
    </xdr:pic>
    <xdr:clientData/>
  </xdr:twoCellAnchor>
  <xdr:twoCellAnchor>
    <xdr:from>
      <xdr:col>4</xdr:col>
      <xdr:colOff>10584</xdr:colOff>
      <xdr:row>0</xdr:row>
      <xdr:rowOff>264585</xdr:rowOff>
    </xdr:from>
    <xdr:to>
      <xdr:col>9</xdr:col>
      <xdr:colOff>1778001</xdr:colOff>
      <xdr:row>0</xdr:row>
      <xdr:rowOff>709085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8C6290B-CF38-49C4-9C8F-0100CE38663D}"/>
            </a:ext>
          </a:extLst>
        </xdr:cNvPr>
        <xdr:cNvSpPr txBox="1"/>
      </xdr:nvSpPr>
      <xdr:spPr>
        <a:xfrm>
          <a:off x="6466417" y="264585"/>
          <a:ext cx="8773584" cy="444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600">
              <a:latin typeface="+mj-ea"/>
              <a:ea typeface="+mj-ea"/>
            </a:rPr>
            <a:t>분류 문제에서 정답이 아닌 곳</a:t>
          </a:r>
          <a:r>
            <a:rPr lang="en-US" altLang="ko-KR" sz="1600">
              <a:latin typeface="+mj-ea"/>
              <a:ea typeface="+mj-ea"/>
            </a:rPr>
            <a:t>(0)</a:t>
          </a:r>
          <a:r>
            <a:rPr lang="ko-KR" altLang="en-US" sz="1600">
              <a:latin typeface="+mj-ea"/>
              <a:ea typeface="+mj-ea"/>
            </a:rPr>
            <a:t>은 곱셈에 의해 모두 사라지고</a:t>
          </a:r>
          <a:r>
            <a:rPr lang="en-US" altLang="ko-KR" sz="1600">
              <a:latin typeface="+mj-ea"/>
              <a:ea typeface="+mj-ea"/>
            </a:rPr>
            <a:t>, </a:t>
          </a:r>
          <a:r>
            <a:rPr lang="ko-KR" altLang="en-US" sz="1600">
              <a:latin typeface="+mj-ea"/>
              <a:ea typeface="+mj-ea"/>
            </a:rPr>
            <a:t>정답인 위치의 확률값만 남는다</a:t>
          </a:r>
          <a:r>
            <a:rPr lang="en-US" altLang="ko-KR" sz="1600">
              <a:latin typeface="+mj-ea"/>
              <a:ea typeface="+mj-ea"/>
            </a:rPr>
            <a:t>.</a:t>
          </a:r>
          <a:endParaRPr lang="ko-KR" altLang="en-US" sz="1600">
            <a:latin typeface="+mj-ea"/>
            <a:ea typeface="+mj-ea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549797</xdr:colOff>
      <xdr:row>0</xdr:row>
      <xdr:rowOff>279724</xdr:rowOff>
    </xdr:from>
    <xdr:to>
      <xdr:col>6</xdr:col>
      <xdr:colOff>376178</xdr:colOff>
      <xdr:row>0</xdr:row>
      <xdr:rowOff>1124512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AD74360-CCF4-B8C7-480C-D7341F47A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3012" y="279724"/>
          <a:ext cx="3240913" cy="844788"/>
        </a:xfrm>
        <a:prstGeom prst="rect">
          <a:avLst/>
        </a:prstGeom>
      </xdr:spPr>
    </xdr:pic>
    <xdr:clientData/>
  </xdr:twoCellAnchor>
  <xdr:twoCellAnchor>
    <xdr:from>
      <xdr:col>6</xdr:col>
      <xdr:colOff>337595</xdr:colOff>
      <xdr:row>0</xdr:row>
      <xdr:rowOff>270076</xdr:rowOff>
    </xdr:from>
    <xdr:to>
      <xdr:col>13</xdr:col>
      <xdr:colOff>1388962</xdr:colOff>
      <xdr:row>0</xdr:row>
      <xdr:rowOff>1012785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E955AD2-4468-98F7-1E62-C02720BF222F}"/>
            </a:ext>
          </a:extLst>
        </xdr:cNvPr>
        <xdr:cNvSpPr txBox="1"/>
      </xdr:nvSpPr>
      <xdr:spPr>
        <a:xfrm>
          <a:off x="5025342" y="270076"/>
          <a:ext cx="8410936" cy="7427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400">
              <a:latin typeface="+mj-ea"/>
              <a:ea typeface="+mj-ea"/>
            </a:rPr>
            <a:t>- </a:t>
          </a:r>
          <a:r>
            <a:rPr lang="ko-KR" altLang="en-US" sz="1400">
              <a:latin typeface="+mj-ea"/>
              <a:ea typeface="+mj-ea"/>
            </a:rPr>
            <a:t>분류 문제에서 정답이 아닌 곳</a:t>
          </a:r>
          <a:r>
            <a:rPr lang="en-US" altLang="ko-KR" sz="1400">
              <a:latin typeface="+mj-ea"/>
              <a:ea typeface="+mj-ea"/>
            </a:rPr>
            <a:t>(0)</a:t>
          </a:r>
          <a:r>
            <a:rPr lang="ko-KR" altLang="en-US" sz="1400">
              <a:latin typeface="+mj-ea"/>
              <a:ea typeface="+mj-ea"/>
            </a:rPr>
            <a:t>은 곱셈에 의해 모두 사라지고</a:t>
          </a:r>
          <a:r>
            <a:rPr lang="en-US" altLang="ko-KR" sz="1400">
              <a:latin typeface="+mj-ea"/>
              <a:ea typeface="+mj-ea"/>
            </a:rPr>
            <a:t>, </a:t>
          </a:r>
          <a:r>
            <a:rPr lang="ko-KR" altLang="en-US" sz="1400">
              <a:latin typeface="+mj-ea"/>
              <a:ea typeface="+mj-ea"/>
            </a:rPr>
            <a:t>정답인 위치의 확률값만 남는다</a:t>
          </a:r>
          <a:r>
            <a:rPr lang="en-US" altLang="ko-KR" sz="1400">
              <a:latin typeface="+mj-ea"/>
              <a:ea typeface="+mj-ea"/>
            </a:rPr>
            <a:t>. </a:t>
          </a:r>
        </a:p>
        <a:p>
          <a:r>
            <a:rPr lang="en-US" altLang="ko-KR" sz="1400">
              <a:latin typeface="+mj-ea"/>
              <a:ea typeface="+mj-ea"/>
            </a:rPr>
            <a:t>- Log-loss</a:t>
          </a:r>
          <a:r>
            <a:rPr lang="ko-KR" altLang="en-US" sz="1400">
              <a:latin typeface="+mj-ea"/>
              <a:ea typeface="+mj-ea"/>
            </a:rPr>
            <a:t>는 </a:t>
          </a:r>
          <a:r>
            <a:rPr lang="en-US" altLang="ko-KR" sz="1400">
              <a:latin typeface="+mj-ea"/>
              <a:ea typeface="+mj-ea"/>
            </a:rPr>
            <a:t>Cross-Entropy</a:t>
          </a:r>
          <a:r>
            <a:rPr lang="ko-KR" altLang="en-US" sz="1400">
              <a:latin typeface="+mj-ea"/>
              <a:ea typeface="+mj-ea"/>
            </a:rPr>
            <a:t>의 이진분류의 특수한 경우이다</a:t>
          </a:r>
          <a:r>
            <a:rPr lang="en-US" altLang="ko-KR" sz="1400">
              <a:latin typeface="+mj-ea"/>
              <a:ea typeface="+mj-ea"/>
            </a:rPr>
            <a:t>.</a:t>
          </a:r>
          <a:endParaRPr lang="ko-KR" altLang="en-US" sz="1400">
            <a:latin typeface="+mj-ea"/>
            <a:ea typeface="+mj-ea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51312;&#44540;&#54616;\Downloads\ADSP_&#44228;&#49328;&#47928;&#51228;%20(3).xlsx" TargetMode="External"/><Relationship Id="rId1" Type="http://schemas.openxmlformats.org/officeDocument/2006/relationships/externalLinkPath" Target="ADSP_&#44228;&#49328;&#47928;&#51228;%20(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rash course"/>
      <sheetName val="covarianc_correlation"/>
      <sheetName val="linear regression"/>
      <sheetName val="__Solver__"/>
      <sheetName val="__Solver___conflict482289707"/>
      <sheetName val="simple linear regression"/>
      <sheetName val="bias_variance"/>
      <sheetName val="logistic function"/>
      <sheetName val="logistic regression"/>
      <sheetName val="KNN_classification"/>
      <sheetName val="gini"/>
      <sheetName val="confusion matrix"/>
      <sheetName val="loss function_logloss"/>
      <sheetName val="log loss plot"/>
      <sheetName val="PCA"/>
      <sheetName val="Hierachy Clustering"/>
      <sheetName val="KNN_clustering"/>
      <sheetName val="Lift curve"/>
      <sheetName val="경사하강(Stochastigradient descent)"/>
      <sheetName val="Association Rule_01"/>
      <sheetName val="Association Rule_02"/>
      <sheetName val="odds"/>
      <sheetName val="log"/>
      <sheetName val="__OpenSolverCache__"/>
      <sheetName val="__OpenSolver__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">
          <cell r="L4" t="str">
            <v>(1-y)*log(1-p)</v>
          </cell>
        </row>
        <row r="5">
          <cell r="J5">
            <v>0.65093155694235783</v>
          </cell>
          <cell r="L5">
            <v>1.0524872640941225</v>
          </cell>
        </row>
        <row r="6">
          <cell r="J6">
            <v>0.82873766203579324</v>
          </cell>
          <cell r="L6">
            <v>1.7645587579287105</v>
          </cell>
        </row>
        <row r="7">
          <cell r="J7">
            <v>0.44536049905311881</v>
          </cell>
          <cell r="L7">
            <v>0.58943692412675563</v>
          </cell>
        </row>
        <row r="8">
          <cell r="J8">
            <v>0.90479147307203256</v>
          </cell>
          <cell r="L8">
            <v>2.351685772624756</v>
          </cell>
        </row>
        <row r="9">
          <cell r="J9">
            <v>0.73594026071645968</v>
          </cell>
          <cell r="L9">
            <v>1.3315799162695217</v>
          </cell>
        </row>
        <row r="10">
          <cell r="J10">
            <v>0.1404211589535872</v>
          </cell>
          <cell r="L10">
            <v>0.15131272939991947</v>
          </cell>
        </row>
        <row r="11">
          <cell r="J11">
            <v>0.62070042897056543</v>
          </cell>
          <cell r="L11">
            <v>0.96942896124116729</v>
          </cell>
        </row>
        <row r="12">
          <cell r="J12">
            <v>0.81290991792286582</v>
          </cell>
          <cell r="L12">
            <v>1.6761650557808909</v>
          </cell>
        </row>
        <row r="13">
          <cell r="J13">
            <v>0.49420241075943616</v>
          </cell>
          <cell r="L13">
            <v>0.68161871098822824</v>
          </cell>
        </row>
        <row r="14">
          <cell r="J14">
            <v>0.75388067383402424</v>
          </cell>
          <cell r="L14">
            <v>1.40193879494077</v>
          </cell>
        </row>
        <row r="15">
          <cell r="J15">
            <v>0.94739346266493552</v>
          </cell>
          <cell r="L15">
            <v>2.9449148830244942</v>
          </cell>
        </row>
        <row r="16">
          <cell r="J16">
            <v>0.87781523057887623</v>
          </cell>
          <cell r="L16">
            <v>2.1022208765007635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25B93-1571-4EE0-ACC9-EC2D13F2737E}">
  <dimension ref="A1:J18"/>
  <sheetViews>
    <sheetView showGridLines="0" tabSelected="1" zoomScale="72" workbookViewId="0">
      <selection activeCell="C8" sqref="C8"/>
    </sheetView>
  </sheetViews>
  <sheetFormatPr defaultColWidth="15.296875" defaultRowHeight="23.4" x14ac:dyDescent="0.4"/>
  <cols>
    <col min="1" max="1" width="25.296875" style="2" customWidth="1"/>
    <col min="2" max="2" width="20.3984375" style="2" bestFit="1" customWidth="1"/>
    <col min="3" max="3" width="20.3984375" style="2" customWidth="1"/>
    <col min="4" max="4" width="18.59765625" style="2" customWidth="1"/>
    <col min="5" max="5" width="23.8984375" style="2" bestFit="1" customWidth="1"/>
    <col min="6" max="6" width="7" style="2" customWidth="1"/>
    <col min="7" max="7" width="21.5" style="2" bestFit="1" customWidth="1"/>
    <col min="8" max="8" width="21.5" style="2" customWidth="1"/>
    <col min="9" max="9" width="18" style="2" bestFit="1" customWidth="1"/>
    <col min="10" max="10" width="28.3984375" style="2" bestFit="1" customWidth="1"/>
    <col min="11" max="16384" width="15.296875" style="2"/>
  </cols>
  <sheetData>
    <row r="1" spans="1:10" ht="78" customHeight="1" thickBot="1" x14ac:dyDescent="0.45">
      <c r="A1" s="1" t="s">
        <v>2</v>
      </c>
    </row>
    <row r="2" spans="1:10" ht="29.4" customHeight="1" thickBot="1" x14ac:dyDescent="0.45">
      <c r="B2" s="3" t="s">
        <v>4</v>
      </c>
      <c r="C2" s="4"/>
      <c r="D2" s="4"/>
      <c r="E2" s="5"/>
      <c r="F2" s="6"/>
      <c r="G2" s="3" t="s">
        <v>5</v>
      </c>
      <c r="H2" s="4"/>
      <c r="I2" s="4"/>
      <c r="J2" s="5"/>
    </row>
    <row r="3" spans="1:10" ht="24" thickBot="1" x14ac:dyDescent="0.45">
      <c r="A3" s="7" t="s">
        <v>9</v>
      </c>
      <c r="B3" s="6" t="s">
        <v>3</v>
      </c>
      <c r="C3" s="6" t="s">
        <v>8</v>
      </c>
      <c r="D3" s="6" t="s">
        <v>0</v>
      </c>
      <c r="E3" s="6" t="s">
        <v>1</v>
      </c>
      <c r="F3" s="6"/>
      <c r="G3" s="6" t="s">
        <v>3</v>
      </c>
      <c r="H3" s="6" t="s">
        <v>8</v>
      </c>
      <c r="I3" s="6" t="s">
        <v>0</v>
      </c>
      <c r="J3" s="6" t="s">
        <v>1</v>
      </c>
    </row>
    <row r="4" spans="1:10" ht="25.8" customHeight="1" thickTop="1" x14ac:dyDescent="0.4">
      <c r="A4" s="8">
        <f ca="1">RANDBETWEEN(0,1)</f>
        <v>0</v>
      </c>
      <c r="B4" s="6">
        <f ca="1">RAND()</f>
        <v>0.87493789176846914</v>
      </c>
      <c r="C4" s="9">
        <f ca="1">IF(B4&gt;= 0.5, TRUE, FALSE)*1</f>
        <v>1</v>
      </c>
      <c r="D4" s="10">
        <f ca="1">-A4*LN(B4)</f>
        <v>0</v>
      </c>
      <c r="E4" s="10">
        <f ca="1">-(1-A4)*LN(1-B4)</f>
        <v>2.078944799224554</v>
      </c>
      <c r="F4" s="6"/>
      <c r="G4" s="6">
        <f ca="1">RAND()</f>
        <v>1.5902711936933045E-2</v>
      </c>
      <c r="H4" s="9">
        <f ca="1">IF(G4&gt;= 0.5, TRUE, FALSE)*1</f>
        <v>0</v>
      </c>
      <c r="I4" s="10">
        <f ca="1">-A4*LN(G4)</f>
        <v>0</v>
      </c>
      <c r="J4" s="10">
        <f ca="1">-(1-A4)*LN(1-G4)</f>
        <v>1.6030516834406618E-2</v>
      </c>
    </row>
    <row r="5" spans="1:10" ht="25.8" customHeight="1" x14ac:dyDescent="0.4">
      <c r="A5" s="9">
        <f t="shared" ref="A5:A13" ca="1" si="0">RANDBETWEEN(0,1)</f>
        <v>0</v>
      </c>
      <c r="B5" s="6">
        <f t="shared" ref="B5:B13" ca="1" si="1">RAND()</f>
        <v>0.72750366883603212</v>
      </c>
      <c r="C5" s="9">
        <f t="shared" ref="C5:C13" ca="1" si="2">IF(B5&gt;= 0.5, TRUE, FALSE)*1</f>
        <v>1</v>
      </c>
      <c r="D5" s="10">
        <f t="shared" ref="D5:D13" ca="1" si="3">-A5*LN(B5)</f>
        <v>0</v>
      </c>
      <c r="E5" s="10">
        <f t="shared" ref="E5:E13" ca="1" si="4">-(1-A5)*LN(1-B5)</f>
        <v>1.3001301285879401</v>
      </c>
      <c r="F5" s="6"/>
      <c r="G5" s="6">
        <f t="shared" ref="G5:G13" ca="1" si="5">RAND()</f>
        <v>0.27550394906408537</v>
      </c>
      <c r="H5" s="9">
        <f t="shared" ref="H5:H13" ca="1" si="6">IF(G5&gt;= 0.5, TRUE, FALSE)*1</f>
        <v>0</v>
      </c>
      <c r="I5" s="10">
        <f t="shared" ref="I5:I13" ca="1" si="7">-A5*LN(G5)</f>
        <v>0</v>
      </c>
      <c r="J5" s="10">
        <f t="shared" ref="J5:J13" ca="1" si="8">-(1-A5)*LN(1-G5)</f>
        <v>0.32227896798033451</v>
      </c>
    </row>
    <row r="6" spans="1:10" ht="25.8" customHeight="1" x14ac:dyDescent="0.4">
      <c r="A6" s="9">
        <f t="shared" ca="1" si="0"/>
        <v>1</v>
      </c>
      <c r="B6" s="6">
        <f t="shared" ca="1" si="1"/>
        <v>0.75420232183574409</v>
      </c>
      <c r="C6" s="9">
        <f t="shared" ca="1" si="2"/>
        <v>1</v>
      </c>
      <c r="D6" s="10">
        <f t="shared" ca="1" si="3"/>
        <v>0.28209461562145738</v>
      </c>
      <c r="E6" s="10">
        <f t="shared" ca="1" si="4"/>
        <v>0</v>
      </c>
      <c r="F6" s="6"/>
      <c r="G6" s="6">
        <f t="shared" ca="1" si="5"/>
        <v>0.40309757784070999</v>
      </c>
      <c r="H6" s="9">
        <f t="shared" ca="1" si="6"/>
        <v>0</v>
      </c>
      <c r="I6" s="10">
        <f t="shared" ca="1" si="7"/>
        <v>0.90857661770686415</v>
      </c>
      <c r="J6" s="10">
        <f t="shared" ca="1" si="8"/>
        <v>0</v>
      </c>
    </row>
    <row r="7" spans="1:10" ht="25.8" customHeight="1" x14ac:dyDescent="0.4">
      <c r="A7" s="9">
        <f t="shared" ca="1" si="0"/>
        <v>0</v>
      </c>
      <c r="B7" s="6">
        <f t="shared" ca="1" si="1"/>
        <v>0.43994733945030062</v>
      </c>
      <c r="C7" s="9">
        <f t="shared" ca="1" si="2"/>
        <v>0</v>
      </c>
      <c r="D7" s="10">
        <f t="shared" ca="1" si="3"/>
        <v>0</v>
      </c>
      <c r="E7" s="10">
        <f t="shared" ca="1" si="4"/>
        <v>0.57972446297822333</v>
      </c>
      <c r="F7" s="6"/>
      <c r="G7" s="6">
        <f t="shared" ca="1" si="5"/>
        <v>0.57548980806445271</v>
      </c>
      <c r="H7" s="9">
        <f t="shared" ca="1" si="6"/>
        <v>1</v>
      </c>
      <c r="I7" s="10">
        <f t="shared" ca="1" si="7"/>
        <v>0</v>
      </c>
      <c r="J7" s="10">
        <f t="shared" ca="1" si="8"/>
        <v>0.85681926424793464</v>
      </c>
    </row>
    <row r="8" spans="1:10" ht="25.8" customHeight="1" x14ac:dyDescent="0.4">
      <c r="A8" s="9">
        <f t="shared" ca="1" si="0"/>
        <v>0</v>
      </c>
      <c r="B8" s="6">
        <f t="shared" ca="1" si="1"/>
        <v>0.60734228738968066</v>
      </c>
      <c r="C8" s="9">
        <f t="shared" ca="1" si="2"/>
        <v>1</v>
      </c>
      <c r="D8" s="10">
        <f t="shared" ca="1" si="3"/>
        <v>0</v>
      </c>
      <c r="E8" s="10">
        <f t="shared" ca="1" si="4"/>
        <v>0.93481700689823788</v>
      </c>
      <c r="F8" s="6"/>
      <c r="G8" s="6">
        <f t="shared" ca="1" si="5"/>
        <v>0.44102121317482323</v>
      </c>
      <c r="H8" s="9">
        <f t="shared" ca="1" si="6"/>
        <v>0</v>
      </c>
      <c r="I8" s="10">
        <f t="shared" ca="1" si="7"/>
        <v>0</v>
      </c>
      <c r="J8" s="10">
        <f t="shared" ca="1" si="8"/>
        <v>0.58164375498148657</v>
      </c>
    </row>
    <row r="9" spans="1:10" ht="25.8" customHeight="1" x14ac:dyDescent="0.4">
      <c r="A9" s="9">
        <f t="shared" ca="1" si="0"/>
        <v>1</v>
      </c>
      <c r="B9" s="6">
        <f t="shared" ca="1" si="1"/>
        <v>0.39571616647928731</v>
      </c>
      <c r="C9" s="9">
        <f t="shared" ca="1" si="2"/>
        <v>0</v>
      </c>
      <c r="D9" s="10">
        <f t="shared" ca="1" si="3"/>
        <v>0.92705807603161672</v>
      </c>
      <c r="E9" s="10">
        <f t="shared" ca="1" si="4"/>
        <v>0</v>
      </c>
      <c r="F9" s="6"/>
      <c r="G9" s="6">
        <f t="shared" ca="1" si="5"/>
        <v>5.9764871240880368E-2</v>
      </c>
      <c r="H9" s="9">
        <f t="shared" ca="1" si="6"/>
        <v>0</v>
      </c>
      <c r="I9" s="10">
        <f t="shared" ca="1" si="7"/>
        <v>2.8173372280779994</v>
      </c>
      <c r="J9" s="10">
        <f t="shared" ca="1" si="8"/>
        <v>0</v>
      </c>
    </row>
    <row r="10" spans="1:10" ht="25.8" customHeight="1" x14ac:dyDescent="0.4">
      <c r="A10" s="9">
        <f t="shared" ca="1" si="0"/>
        <v>0</v>
      </c>
      <c r="B10" s="6">
        <f t="shared" ca="1" si="1"/>
        <v>0.23571859121235028</v>
      </c>
      <c r="C10" s="9">
        <f t="shared" ca="1" si="2"/>
        <v>0</v>
      </c>
      <c r="D10" s="10">
        <f t="shared" ca="1" si="3"/>
        <v>0</v>
      </c>
      <c r="E10" s="10">
        <f t="shared" ca="1" si="4"/>
        <v>0.2688192215252192</v>
      </c>
      <c r="F10" s="6"/>
      <c r="G10" s="6">
        <f t="shared" ca="1" si="5"/>
        <v>0.93877371243849839</v>
      </c>
      <c r="H10" s="9">
        <f t="shared" ca="1" si="6"/>
        <v>1</v>
      </c>
      <c r="I10" s="10">
        <f t="shared" ca="1" si="7"/>
        <v>0</v>
      </c>
      <c r="J10" s="10">
        <f t="shared" ca="1" si="8"/>
        <v>2.79317864636909</v>
      </c>
    </row>
    <row r="11" spans="1:10" ht="25.8" customHeight="1" x14ac:dyDescent="0.4">
      <c r="A11" s="9">
        <f t="shared" ca="1" si="0"/>
        <v>1</v>
      </c>
      <c r="B11" s="6">
        <f t="shared" ca="1" si="1"/>
        <v>0.20404562979124885</v>
      </c>
      <c r="C11" s="9">
        <f t="shared" ca="1" si="2"/>
        <v>0</v>
      </c>
      <c r="D11" s="10">
        <f t="shared" ca="1" si="3"/>
        <v>1.5894116347022456</v>
      </c>
      <c r="E11" s="10">
        <f t="shared" ca="1" si="4"/>
        <v>0</v>
      </c>
      <c r="F11" s="6"/>
      <c r="G11" s="6">
        <f t="shared" ca="1" si="5"/>
        <v>5.2482996329179521E-2</v>
      </c>
      <c r="H11" s="9">
        <f t="shared" ca="1" si="6"/>
        <v>0</v>
      </c>
      <c r="I11" s="10">
        <f t="shared" ca="1" si="7"/>
        <v>2.9472660412890335</v>
      </c>
      <c r="J11" s="10">
        <f t="shared" ca="1" si="8"/>
        <v>0</v>
      </c>
    </row>
    <row r="12" spans="1:10" ht="25.8" customHeight="1" x14ac:dyDescent="0.4">
      <c r="A12" s="9">
        <f t="shared" ca="1" si="0"/>
        <v>1</v>
      </c>
      <c r="B12" s="6">
        <f t="shared" ca="1" si="1"/>
        <v>0.74448150646913058</v>
      </c>
      <c r="C12" s="9">
        <f t="shared" ca="1" si="2"/>
        <v>1</v>
      </c>
      <c r="D12" s="10">
        <f t="shared" ca="1" si="3"/>
        <v>0.2950672673692416</v>
      </c>
      <c r="E12" s="10">
        <f t="shared" ca="1" si="4"/>
        <v>0</v>
      </c>
      <c r="F12" s="6"/>
      <c r="G12" s="6">
        <f t="shared" ca="1" si="5"/>
        <v>0.98795139696466072</v>
      </c>
      <c r="H12" s="9">
        <f t="shared" ca="1" si="6"/>
        <v>1</v>
      </c>
      <c r="I12" s="10">
        <f t="shared" ca="1" si="7"/>
        <v>1.2121775799908596E-2</v>
      </c>
      <c r="J12" s="10">
        <f t="shared" ca="1" si="8"/>
        <v>0</v>
      </c>
    </row>
    <row r="13" spans="1:10" ht="25.8" customHeight="1" thickBot="1" x14ac:dyDescent="0.45">
      <c r="A13" s="11">
        <f t="shared" ca="1" si="0"/>
        <v>1</v>
      </c>
      <c r="B13" s="6">
        <f t="shared" ca="1" si="1"/>
        <v>0.64638873875780156</v>
      </c>
      <c r="C13" s="9">
        <f t="shared" ca="1" si="2"/>
        <v>1</v>
      </c>
      <c r="D13" s="10">
        <f t="shared" ca="1" si="3"/>
        <v>0.43635419340318043</v>
      </c>
      <c r="E13" s="10">
        <f t="shared" ca="1" si="4"/>
        <v>0</v>
      </c>
      <c r="F13" s="6"/>
      <c r="G13" s="6">
        <f t="shared" ca="1" si="5"/>
        <v>0.78814709244402703</v>
      </c>
      <c r="H13" s="9">
        <f t="shared" ca="1" si="6"/>
        <v>1</v>
      </c>
      <c r="I13" s="10">
        <f t="shared" ca="1" si="7"/>
        <v>0.23807054100599637</v>
      </c>
      <c r="J13" s="10">
        <f t="shared" ca="1" si="8"/>
        <v>0</v>
      </c>
    </row>
    <row r="14" spans="1:10" ht="25.8" customHeight="1" x14ac:dyDescent="0.4">
      <c r="B14" s="12" t="s">
        <v>6</v>
      </c>
      <c r="C14" s="13"/>
      <c r="D14" s="13">
        <f ca="1">SUM(D4:D13)</f>
        <v>3.5299857871277416</v>
      </c>
      <c r="E14" s="14">
        <f ca="1">SUM(E4:E13)</f>
        <v>5.1624356192141745</v>
      </c>
      <c r="I14" s="15">
        <f ca="1">SUM(I4:I13)</f>
        <v>6.9233722038798016</v>
      </c>
      <c r="J14" s="14">
        <f ca="1">SUM(J4:J13)</f>
        <v>4.5699511504132522</v>
      </c>
    </row>
    <row r="15" spans="1:10" ht="25.8" customHeight="1" thickBot="1" x14ac:dyDescent="0.45">
      <c r="B15" s="16" t="s">
        <v>7</v>
      </c>
      <c r="C15" s="17"/>
      <c r="D15" s="17"/>
      <c r="E15" s="18">
        <f ca="1">SUM(D14:E14)</f>
        <v>8.6924214063419161</v>
      </c>
      <c r="I15" s="19"/>
      <c r="J15" s="18">
        <f ca="1">SUM(I14:J14)</f>
        <v>11.493323354293054</v>
      </c>
    </row>
    <row r="17" spans="2:7" ht="34.799999999999997" customHeight="1" x14ac:dyDescent="0.4">
      <c r="E17" s="20" t="s">
        <v>10</v>
      </c>
      <c r="F17" s="20" t="str">
        <f ca="1">IF(E15&lt;= J15, "A", "B")</f>
        <v>A</v>
      </c>
      <c r="G17" s="21" t="s">
        <v>11</v>
      </c>
    </row>
    <row r="18" spans="2:7" x14ac:dyDescent="0.4">
      <c r="B18" s="2" t="s">
        <v>12</v>
      </c>
    </row>
  </sheetData>
  <mergeCells count="2">
    <mergeCell ref="B2:E2"/>
    <mergeCell ref="G2:J2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A13D-2AB3-48AA-B828-ABDC8857A8FC}">
  <dimension ref="A1:N18"/>
  <sheetViews>
    <sheetView showGridLines="0" topLeftCell="A2" zoomScale="79" workbookViewId="0">
      <selection activeCell="G12" sqref="G12"/>
    </sheetView>
  </sheetViews>
  <sheetFormatPr defaultColWidth="13.5" defaultRowHeight="18" x14ac:dyDescent="0.4"/>
  <cols>
    <col min="1" max="3" width="8.296875" style="28" customWidth="1"/>
    <col min="4" max="6" width="12.19921875" style="28" bestFit="1" customWidth="1"/>
    <col min="7" max="9" width="13.3984375" style="28" customWidth="1"/>
    <col min="10" max="11" width="8.8984375" style="28" customWidth="1"/>
    <col min="12" max="12" width="16.3984375" style="28" bestFit="1" customWidth="1"/>
    <col min="13" max="13" width="22.09765625" style="28" bestFit="1" customWidth="1"/>
    <col min="14" max="14" width="23.5" style="28" bestFit="1" customWidth="1"/>
    <col min="15" max="16384" width="13.5" style="28"/>
  </cols>
  <sheetData>
    <row r="1" spans="1:14" ht="97.8" customHeight="1" x14ac:dyDescent="0.4">
      <c r="A1" s="22" t="s">
        <v>13</v>
      </c>
      <c r="B1" s="27"/>
      <c r="C1" s="27"/>
      <c r="L1" s="35"/>
    </row>
    <row r="2" spans="1:14" ht="29.4" customHeight="1" thickBot="1" x14ac:dyDescent="0.45">
      <c r="G2" s="33" t="s">
        <v>19</v>
      </c>
      <c r="H2" s="33"/>
      <c r="I2" s="33"/>
      <c r="L2" s="23" t="s">
        <v>20</v>
      </c>
    </row>
    <row r="3" spans="1:14" s="23" customFormat="1" ht="31.2" customHeight="1" thickBot="1" x14ac:dyDescent="0.45">
      <c r="A3" s="33" t="s">
        <v>9</v>
      </c>
      <c r="B3" s="33"/>
      <c r="C3" s="33"/>
      <c r="D3" s="30" t="s">
        <v>17</v>
      </c>
      <c r="E3" s="30" t="s">
        <v>17</v>
      </c>
      <c r="F3" s="30" t="s">
        <v>17</v>
      </c>
      <c r="G3" s="34" t="s">
        <v>14</v>
      </c>
      <c r="H3" s="34" t="s">
        <v>15</v>
      </c>
      <c r="I3" s="34" t="s">
        <v>16</v>
      </c>
      <c r="J3" s="31" t="s">
        <v>18</v>
      </c>
      <c r="K3" s="31"/>
      <c r="L3" s="23" t="s">
        <v>22</v>
      </c>
      <c r="M3" s="24" t="s">
        <v>21</v>
      </c>
      <c r="N3" s="24"/>
    </row>
    <row r="4" spans="1:14" s="23" customFormat="1" ht="25.8" customHeight="1" x14ac:dyDescent="0.4">
      <c r="A4" s="25">
        <f ca="1">RANDBETWEEN(0,1)</f>
        <v>0</v>
      </c>
      <c r="B4" s="25">
        <f ca="1">IF(A4 &gt; 0, 0, RANDBETWEEN(0,1))</f>
        <v>0</v>
      </c>
      <c r="C4" s="25">
        <f ca="1">IF(SUM(A4:B4) &gt;0, 0, RANDBETWEEN(0,1))</f>
        <v>1</v>
      </c>
      <c r="D4" s="31">
        <f ca="1">RAND()</f>
        <v>0.74068188735203866</v>
      </c>
      <c r="E4" s="31">
        <f t="shared" ref="E4:F4" ca="1" si="0">RAND()</f>
        <v>0.93166078124174734</v>
      </c>
      <c r="F4" s="31">
        <f t="shared" ca="1" si="0"/>
        <v>0.69354096013295008</v>
      </c>
      <c r="G4" s="23">
        <f ca="1">EXP(D4)/SUM(EXP($D4)+EXP($E4)+EXP($F4))</f>
        <v>0.31601698717609378</v>
      </c>
      <c r="H4" s="23">
        <f t="shared" ref="H4:I4" ca="1" si="1">EXP(E4)/SUM(EXP($D4)+EXP($E4)+EXP($F4))</f>
        <v>0.38251767560010769</v>
      </c>
      <c r="I4" s="23">
        <f t="shared" ca="1" si="1"/>
        <v>0.30146533722379854</v>
      </c>
      <c r="J4" s="32">
        <f ca="1">SUM(G4:I4)</f>
        <v>1</v>
      </c>
      <c r="K4" s="32"/>
      <c r="L4" s="26">
        <f ca="1">-(A4*LN(G4) + B4*LN(H4) + C4*LN(I4))</f>
        <v>1.1991002371727904</v>
      </c>
      <c r="M4" s="26">
        <f ca="1">-SUMPRODUCT(A4:C4, LN(G4:I4))</f>
        <v>1.1991002371727904</v>
      </c>
      <c r="N4" s="26"/>
    </row>
    <row r="5" spans="1:14" s="23" customFormat="1" ht="25.8" customHeight="1" x14ac:dyDescent="0.4">
      <c r="A5" s="25">
        <f t="shared" ref="A5:A13" ca="1" si="2">RANDBETWEEN(0,1)</f>
        <v>1</v>
      </c>
      <c r="B5" s="25">
        <f t="shared" ref="B5:B13" ca="1" si="3">IF(A5 &gt; 0, 0, RANDBETWEEN(0,1))</f>
        <v>0</v>
      </c>
      <c r="C5" s="25">
        <f t="shared" ref="C5:C13" ca="1" si="4">IF(SUM(A5:B5) &gt;0, 0, RANDBETWEEN(0,1))</f>
        <v>0</v>
      </c>
      <c r="D5" s="31">
        <f t="shared" ref="D5:F13" ca="1" si="5">RAND()</f>
        <v>0.26008109215001585</v>
      </c>
      <c r="E5" s="31">
        <f t="shared" ca="1" si="5"/>
        <v>0.17984006488186099</v>
      </c>
      <c r="F5" s="31">
        <f t="shared" ca="1" si="5"/>
        <v>0.33294384475546701</v>
      </c>
      <c r="G5" s="23">
        <f t="shared" ref="G5:G13" ca="1" si="6">EXP(D5)/SUM(EXP($D5)+EXP($E5)+EXP($F5))</f>
        <v>0.33350266566334386</v>
      </c>
      <c r="H5" s="23">
        <f t="shared" ref="H5:H13" ca="1" si="7">EXP(E5)/SUM(EXP($D5)+EXP($E5)+EXP($F5))</f>
        <v>0.30778756809959268</v>
      </c>
      <c r="I5" s="23">
        <f t="shared" ref="I5:I13" ca="1" si="8">EXP(F5)/SUM(EXP($D5)+EXP($E5)+EXP($F5))</f>
        <v>0.35870976623706335</v>
      </c>
      <c r="J5" s="32">
        <f t="shared" ref="J5:J13" ca="1" si="9">SUM(G5:I5)</f>
        <v>0.99999999999999978</v>
      </c>
      <c r="K5" s="32"/>
      <c r="L5" s="26">
        <f t="shared" ref="L5:L13" ca="1" si="10">-(A5*LN(G5) + B5*LN(H5) + C5*LN(I5))</f>
        <v>1.0981044206648676</v>
      </c>
      <c r="M5" s="26">
        <f t="shared" ref="M5:M13" ca="1" si="11">-SUMPRODUCT(A5:C5, LN(G5:I5))</f>
        <v>1.0981044206648676</v>
      </c>
      <c r="N5" s="26"/>
    </row>
    <row r="6" spans="1:14" s="23" customFormat="1" ht="25.8" customHeight="1" x14ac:dyDescent="0.4">
      <c r="A6" s="25">
        <f t="shared" ca="1" si="2"/>
        <v>0</v>
      </c>
      <c r="B6" s="25">
        <f t="shared" ca="1" si="3"/>
        <v>0</v>
      </c>
      <c r="C6" s="25">
        <f t="shared" ref="C6:C13" ca="1" si="12">IF(SUM(A6:B6) &gt;0, 0, RANDBETWEEN(0,1))</f>
        <v>1</v>
      </c>
      <c r="D6" s="31">
        <f t="shared" ca="1" si="5"/>
        <v>0.89478049769355839</v>
      </c>
      <c r="E6" s="31">
        <f t="shared" ca="1" si="5"/>
        <v>0.44594730731004861</v>
      </c>
      <c r="F6" s="31">
        <f t="shared" ca="1" si="5"/>
        <v>0.76409650545340213</v>
      </c>
      <c r="G6" s="23">
        <f t="shared" ca="1" si="6"/>
        <v>0.39747719596975123</v>
      </c>
      <c r="H6" s="23">
        <f t="shared" ca="1" si="7"/>
        <v>0.25373854169018178</v>
      </c>
      <c r="I6" s="23">
        <f t="shared" ca="1" si="8"/>
        <v>0.34878426234006704</v>
      </c>
      <c r="J6" s="32">
        <f t="shared" ca="1" si="9"/>
        <v>1</v>
      </c>
      <c r="K6" s="32"/>
      <c r="L6" s="26">
        <f t="shared" ca="1" si="10"/>
        <v>1.0533017074031061</v>
      </c>
      <c r="M6" s="26">
        <f t="shared" ca="1" si="11"/>
        <v>1.0533017074031061</v>
      </c>
      <c r="N6" s="26"/>
    </row>
    <row r="7" spans="1:14" s="23" customFormat="1" ht="25.8" customHeight="1" x14ac:dyDescent="0.4">
      <c r="A7" s="25">
        <f t="shared" ca="1" si="2"/>
        <v>1</v>
      </c>
      <c r="B7" s="25">
        <f t="shared" ca="1" si="3"/>
        <v>0</v>
      </c>
      <c r="C7" s="25">
        <f t="shared" ca="1" si="12"/>
        <v>0</v>
      </c>
      <c r="D7" s="31">
        <f t="shared" ca="1" si="5"/>
        <v>0.7294774536838321</v>
      </c>
      <c r="E7" s="31">
        <f t="shared" ca="1" si="5"/>
        <v>7.0679252152097027E-2</v>
      </c>
      <c r="F7" s="31">
        <f t="shared" ca="1" si="5"/>
        <v>0.30041634358081282</v>
      </c>
      <c r="G7" s="23">
        <f t="shared" ca="1" si="6"/>
        <v>0.46112848348814406</v>
      </c>
      <c r="H7" s="23">
        <f t="shared" ca="1" si="7"/>
        <v>0.23862147473198894</v>
      </c>
      <c r="I7" s="23">
        <f t="shared" ca="1" si="8"/>
        <v>0.30025004177986708</v>
      </c>
      <c r="J7" s="32">
        <f t="shared" ca="1" si="9"/>
        <v>1</v>
      </c>
      <c r="K7" s="32"/>
      <c r="L7" s="26">
        <f t="shared" ca="1" si="10"/>
        <v>0.77407856876876946</v>
      </c>
      <c r="M7" s="26">
        <f t="shared" ca="1" si="11"/>
        <v>0.77407856876876946</v>
      </c>
      <c r="N7" s="26"/>
    </row>
    <row r="8" spans="1:14" s="23" customFormat="1" ht="25.8" customHeight="1" x14ac:dyDescent="0.4">
      <c r="A8" s="25">
        <f t="shared" ca="1" si="2"/>
        <v>1</v>
      </c>
      <c r="B8" s="25">
        <f t="shared" ca="1" si="3"/>
        <v>0</v>
      </c>
      <c r="C8" s="25">
        <f t="shared" ca="1" si="12"/>
        <v>0</v>
      </c>
      <c r="D8" s="31">
        <f t="shared" ca="1" si="5"/>
        <v>0.29959286280040631</v>
      </c>
      <c r="E8" s="31">
        <f t="shared" ca="1" si="5"/>
        <v>0.92244527418959954</v>
      </c>
      <c r="F8" s="31">
        <f t="shared" ca="1" si="5"/>
        <v>5.8524537941107013E-3</v>
      </c>
      <c r="G8" s="23">
        <f t="shared" ca="1" si="6"/>
        <v>0.27703071654477229</v>
      </c>
      <c r="H8" s="23">
        <f t="shared" ca="1" si="7"/>
        <v>0.51645119972991238</v>
      </c>
      <c r="I8" s="23">
        <f t="shared" ca="1" si="8"/>
        <v>0.20651808372531533</v>
      </c>
      <c r="J8" s="32">
        <f t="shared" ca="1" si="9"/>
        <v>1</v>
      </c>
      <c r="K8" s="32"/>
      <c r="L8" s="26">
        <f t="shared" ca="1" si="10"/>
        <v>1.2836268888893165</v>
      </c>
      <c r="M8" s="26">
        <f t="shared" ca="1" si="11"/>
        <v>1.2836268888893165</v>
      </c>
      <c r="N8" s="26"/>
    </row>
    <row r="9" spans="1:14" s="23" customFormat="1" ht="25.8" customHeight="1" x14ac:dyDescent="0.4">
      <c r="A9" s="25">
        <f t="shared" ca="1" si="2"/>
        <v>1</v>
      </c>
      <c r="B9" s="25">
        <f t="shared" ca="1" si="3"/>
        <v>0</v>
      </c>
      <c r="C9" s="25">
        <f t="shared" ca="1" si="12"/>
        <v>0</v>
      </c>
      <c r="D9" s="31">
        <f t="shared" ca="1" si="5"/>
        <v>0.47627466355372206</v>
      </c>
      <c r="E9" s="31">
        <f t="shared" ca="1" si="5"/>
        <v>0.44208221561173666</v>
      </c>
      <c r="F9" s="31">
        <f t="shared" ca="1" si="5"/>
        <v>6.3288826474300341E-3</v>
      </c>
      <c r="G9" s="23">
        <f t="shared" ca="1" si="6"/>
        <v>0.38588856991308856</v>
      </c>
      <c r="H9" s="23">
        <f t="shared" ca="1" si="7"/>
        <v>0.37291712160456425</v>
      </c>
      <c r="I9" s="23">
        <f t="shared" ca="1" si="8"/>
        <v>0.24119430848234708</v>
      </c>
      <c r="J9" s="32">
        <f t="shared" ca="1" si="9"/>
        <v>1</v>
      </c>
      <c r="K9" s="32"/>
      <c r="L9" s="26">
        <f t="shared" ca="1" si="10"/>
        <v>0.95220663017474005</v>
      </c>
      <c r="M9" s="26">
        <f t="shared" ca="1" si="11"/>
        <v>0.95220663017474005</v>
      </c>
      <c r="N9" s="26"/>
    </row>
    <row r="10" spans="1:14" s="23" customFormat="1" ht="25.8" customHeight="1" x14ac:dyDescent="0.4">
      <c r="A10" s="25">
        <f t="shared" ca="1" si="2"/>
        <v>1</v>
      </c>
      <c r="B10" s="25">
        <f t="shared" ca="1" si="3"/>
        <v>0</v>
      </c>
      <c r="C10" s="25">
        <f t="shared" ca="1" si="12"/>
        <v>0</v>
      </c>
      <c r="D10" s="31">
        <f t="shared" ca="1" si="5"/>
        <v>0.39103022899303752</v>
      </c>
      <c r="E10" s="31">
        <f t="shared" ca="1" si="5"/>
        <v>0.63129253155706011</v>
      </c>
      <c r="F10" s="31">
        <f t="shared" ca="1" si="5"/>
        <v>0.51773604945997898</v>
      </c>
      <c r="G10" s="23">
        <f t="shared" ca="1" si="6"/>
        <v>0.29354215796648175</v>
      </c>
      <c r="H10" s="23">
        <f t="shared" ca="1" si="7"/>
        <v>0.37326311393062034</v>
      </c>
      <c r="I10" s="23">
        <f t="shared" ca="1" si="8"/>
        <v>0.33319472810289796</v>
      </c>
      <c r="J10" s="32">
        <f t="shared" ca="1" si="9"/>
        <v>1</v>
      </c>
      <c r="K10" s="32"/>
      <c r="L10" s="26">
        <f t="shared" ca="1" si="10"/>
        <v>1.2257340113016748</v>
      </c>
      <c r="M10" s="26">
        <f t="shared" ca="1" si="11"/>
        <v>1.2257340113016748</v>
      </c>
      <c r="N10" s="26"/>
    </row>
    <row r="11" spans="1:14" s="23" customFormat="1" ht="25.8" customHeight="1" x14ac:dyDescent="0.4">
      <c r="A11" s="25">
        <f t="shared" ca="1" si="2"/>
        <v>0</v>
      </c>
      <c r="B11" s="25">
        <f t="shared" ca="1" si="3"/>
        <v>0</v>
      </c>
      <c r="C11" s="25">
        <f t="shared" ca="1" si="12"/>
        <v>0</v>
      </c>
      <c r="D11" s="31">
        <f t="shared" ca="1" si="5"/>
        <v>0.38515571686432226</v>
      </c>
      <c r="E11" s="31">
        <f t="shared" ca="1" si="5"/>
        <v>0.91094486373031125</v>
      </c>
      <c r="F11" s="31">
        <f t="shared" ca="1" si="5"/>
        <v>0.70823735636042073</v>
      </c>
      <c r="G11" s="23">
        <f t="shared" ca="1" si="6"/>
        <v>0.24550893473253046</v>
      </c>
      <c r="H11" s="23">
        <f t="shared" ca="1" si="7"/>
        <v>0.41535039424034104</v>
      </c>
      <c r="I11" s="23">
        <f t="shared" ca="1" si="8"/>
        <v>0.33914067102712853</v>
      </c>
      <c r="J11" s="32">
        <f t="shared" ca="1" si="9"/>
        <v>1</v>
      </c>
      <c r="K11" s="32"/>
      <c r="L11" s="26">
        <f t="shared" ca="1" si="10"/>
        <v>0</v>
      </c>
      <c r="M11" s="26">
        <f t="shared" ca="1" si="11"/>
        <v>0</v>
      </c>
      <c r="N11" s="26"/>
    </row>
    <row r="12" spans="1:14" s="23" customFormat="1" ht="25.8" customHeight="1" x14ac:dyDescent="0.4">
      <c r="A12" s="25">
        <f t="shared" ca="1" si="2"/>
        <v>1</v>
      </c>
      <c r="B12" s="25">
        <f t="shared" ca="1" si="3"/>
        <v>0</v>
      </c>
      <c r="C12" s="25">
        <f t="shared" ca="1" si="12"/>
        <v>0</v>
      </c>
      <c r="D12" s="31">
        <f t="shared" ca="1" si="5"/>
        <v>1.3195312798453873E-2</v>
      </c>
      <c r="E12" s="31">
        <f t="shared" ca="1" si="5"/>
        <v>0.60034150320927204</v>
      </c>
      <c r="F12" s="31">
        <f t="shared" ca="1" si="5"/>
        <v>0.92397108123755511</v>
      </c>
      <c r="G12" s="23">
        <f t="shared" ca="1" si="6"/>
        <v>0.1892112482230941</v>
      </c>
      <c r="H12" s="23">
        <f t="shared" ca="1" si="7"/>
        <v>0.34036218368063953</v>
      </c>
      <c r="I12" s="23">
        <f t="shared" ca="1" si="8"/>
        <v>0.47042656809626637</v>
      </c>
      <c r="J12" s="32">
        <f t="shared" ca="1" si="9"/>
        <v>1</v>
      </c>
      <c r="K12" s="32"/>
      <c r="L12" s="26">
        <f ca="1">-(A12*LN(G12) + B12*LN(H12) + C12*LN(I12))</f>
        <v>1.6648911726352602</v>
      </c>
      <c r="M12" s="26">
        <f t="shared" ca="1" si="11"/>
        <v>1.6648911726352602</v>
      </c>
      <c r="N12" s="26"/>
    </row>
    <row r="13" spans="1:14" s="23" customFormat="1" ht="25.8" customHeight="1" x14ac:dyDescent="0.4">
      <c r="A13" s="25">
        <f t="shared" ca="1" si="2"/>
        <v>0</v>
      </c>
      <c r="B13" s="25">
        <f t="shared" ca="1" si="3"/>
        <v>0</v>
      </c>
      <c r="C13" s="25">
        <f t="shared" ca="1" si="12"/>
        <v>0</v>
      </c>
      <c r="D13" s="31">
        <f t="shared" ca="1" si="5"/>
        <v>0.47316090454894044</v>
      </c>
      <c r="E13" s="31">
        <f t="shared" ca="1" si="5"/>
        <v>0.99217709918373842</v>
      </c>
      <c r="F13" s="31">
        <f t="shared" ca="1" si="5"/>
        <v>0.62909707863061559</v>
      </c>
      <c r="G13" s="23">
        <f t="shared" ca="1" si="6"/>
        <v>0.25979928616066861</v>
      </c>
      <c r="H13" s="23">
        <f t="shared" ca="1" si="7"/>
        <v>0.43655988140416113</v>
      </c>
      <c r="I13" s="23">
        <f t="shared" ca="1" si="8"/>
        <v>0.30364083243517026</v>
      </c>
      <c r="J13" s="32">
        <f t="shared" ca="1" si="9"/>
        <v>1</v>
      </c>
      <c r="K13" s="32"/>
      <c r="L13" s="26">
        <f t="shared" ca="1" si="10"/>
        <v>0</v>
      </c>
      <c r="M13" s="26">
        <f t="shared" ca="1" si="11"/>
        <v>0</v>
      </c>
      <c r="N13" s="26"/>
    </row>
    <row r="14" spans="1:14" ht="25.8" customHeight="1" x14ac:dyDescent="0.4">
      <c r="J14" s="29"/>
      <c r="K14" s="36" t="s">
        <v>23</v>
      </c>
      <c r="L14" s="24">
        <f ca="1">SUM(L4:L13)</f>
        <v>9.2510436370105253</v>
      </c>
    </row>
    <row r="15" spans="1:14" ht="25.8" customHeight="1" x14ac:dyDescent="0.4">
      <c r="J15" s="29"/>
      <c r="K15" s="29"/>
      <c r="L15" s="29"/>
    </row>
    <row r="17" spans="4:4" ht="34.799999999999997" customHeight="1" x14ac:dyDescent="0.4"/>
    <row r="18" spans="4:4" x14ac:dyDescent="0.4">
      <c r="D18" s="28" t="s">
        <v>12</v>
      </c>
    </row>
  </sheetData>
  <mergeCells count="2">
    <mergeCell ref="A3:C3"/>
    <mergeCell ref="G2:I2"/>
  </mergeCells>
  <phoneticPr fontId="2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7C85F8-82B6-4CF3-80DF-E9F045118E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Log-Loss</vt:lpstr>
      <vt:lpstr>Cross-Entropy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Sanggoo Cho</dc:creator>
  <cp:lastModifiedBy>Sanggoo Cho</cp:lastModifiedBy>
  <dcterms:created xsi:type="dcterms:W3CDTF">2026-04-20T10:43:34Z</dcterms:created>
  <dcterms:modified xsi:type="dcterms:W3CDTF">2026-04-20T12:30:13Z</dcterms:modified>
</cp:coreProperties>
</file>