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FCAF2F11-BCEE-4311-B4E7-4F078D9BD8C6}" xr6:coauthVersionLast="47" xr6:coauthVersionMax="47" xr10:uidLastSave="{00000000-0000-0000-0000-000000000000}"/>
  <bookViews>
    <workbookView xWindow="-108" yWindow="-108" windowWidth="23256" windowHeight="12456" xr2:uid="{064F2A64-9CD9-400C-9F24-93DDEFEC9914}"/>
  </bookViews>
  <sheets>
    <sheet name="loss" sheetId="3" r:id="rId1"/>
    <sheet name="Log-Loss" sheetId="1" r:id="rId2"/>
    <sheet name="Cross-Entropy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3" l="1"/>
  <c r="B18" i="3" s="1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H21" i="3" s="1"/>
  <c r="G20" i="3"/>
  <c r="F20" i="3"/>
  <c r="E20" i="3"/>
  <c r="G19" i="3"/>
  <c r="F19" i="3"/>
  <c r="E19" i="3"/>
  <c r="G18" i="3"/>
  <c r="F18" i="3"/>
  <c r="E18" i="3"/>
  <c r="A19" i="3"/>
  <c r="B19" i="3" s="1"/>
  <c r="C19" i="3" s="1"/>
  <c r="A20" i="3"/>
  <c r="B20" i="3" s="1"/>
  <c r="A21" i="3"/>
  <c r="B21" i="3" s="1"/>
  <c r="D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C27" i="3" s="1"/>
  <c r="D11" i="3"/>
  <c r="E11" i="3"/>
  <c r="H11" i="3" s="1"/>
  <c r="D12" i="3"/>
  <c r="E12" i="3"/>
  <c r="F12" i="3" s="1"/>
  <c r="C12" i="3"/>
  <c r="C11" i="3"/>
  <c r="D4" i="3"/>
  <c r="D5" i="3"/>
  <c r="D6" i="3"/>
  <c r="D7" i="3"/>
  <c r="D8" i="3"/>
  <c r="D9" i="3"/>
  <c r="D10" i="3"/>
  <c r="D3" i="3"/>
  <c r="E4" i="3"/>
  <c r="H4" i="3" s="1"/>
  <c r="I4" i="3" s="1"/>
  <c r="E5" i="3"/>
  <c r="H5" i="3" s="1"/>
  <c r="I5" i="3" s="1"/>
  <c r="E6" i="3"/>
  <c r="H6" i="3" s="1"/>
  <c r="I6" i="3" s="1"/>
  <c r="E7" i="3"/>
  <c r="H7" i="3" s="1"/>
  <c r="I7" i="3" s="1"/>
  <c r="E8" i="3"/>
  <c r="H8" i="3" s="1"/>
  <c r="I8" i="3" s="1"/>
  <c r="E9" i="3"/>
  <c r="H9" i="3" s="1"/>
  <c r="I9" i="3" s="1"/>
  <c r="E10" i="3"/>
  <c r="H10" i="3" s="1"/>
  <c r="I10" i="3" s="1"/>
  <c r="C4" i="3"/>
  <c r="C5" i="3"/>
  <c r="C6" i="3"/>
  <c r="C7" i="3"/>
  <c r="C8" i="3"/>
  <c r="C9" i="3"/>
  <c r="C10" i="3"/>
  <c r="E3" i="3"/>
  <c r="H3" i="3" s="1"/>
  <c r="C3" i="3"/>
  <c r="A6" i="2"/>
  <c r="C6" i="2" s="1"/>
  <c r="A7" i="2"/>
  <c r="B7" i="2" s="1"/>
  <c r="C7" i="2" s="1"/>
  <c r="A8" i="2"/>
  <c r="B8" i="2" s="1"/>
  <c r="A9" i="2"/>
  <c r="B9" i="2" s="1"/>
  <c r="A10" i="2"/>
  <c r="B10" i="2" s="1"/>
  <c r="C10" i="2" s="1"/>
  <c r="A11" i="2"/>
  <c r="B11" i="2" s="1"/>
  <c r="A12" i="2"/>
  <c r="B12" i="2" s="1"/>
  <c r="A13" i="2"/>
  <c r="B13" i="2" s="1"/>
  <c r="C13" i="2" s="1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A5" i="2"/>
  <c r="B5" i="2" s="1"/>
  <c r="C5" i="2" s="1"/>
  <c r="D13" i="2"/>
  <c r="D12" i="2"/>
  <c r="D11" i="2"/>
  <c r="D10" i="2"/>
  <c r="D9" i="2"/>
  <c r="D8" i="2"/>
  <c r="D7" i="2"/>
  <c r="D6" i="2"/>
  <c r="D5" i="2"/>
  <c r="D4" i="2"/>
  <c r="A4" i="2"/>
  <c r="B4" i="2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4" i="1"/>
  <c r="H4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A5" i="1"/>
  <c r="A6" i="1"/>
  <c r="A7" i="1"/>
  <c r="A8" i="1"/>
  <c r="A9" i="1"/>
  <c r="A10" i="1"/>
  <c r="A11" i="1"/>
  <c r="A12" i="1"/>
  <c r="A13" i="1"/>
  <c r="A4" i="1"/>
  <c r="H24" i="3" l="1"/>
  <c r="H19" i="3"/>
  <c r="H27" i="3"/>
  <c r="H22" i="3"/>
  <c r="H20" i="3"/>
  <c r="H23" i="3"/>
  <c r="H25" i="3"/>
  <c r="H18" i="3"/>
  <c r="H26" i="3"/>
  <c r="C18" i="3"/>
  <c r="I19" i="3"/>
  <c r="I27" i="3"/>
  <c r="I20" i="3"/>
  <c r="L12" i="3"/>
  <c r="I11" i="3"/>
  <c r="J20" i="3"/>
  <c r="K20" i="3"/>
  <c r="K21" i="3"/>
  <c r="J24" i="3"/>
  <c r="K22" i="3"/>
  <c r="I25" i="3"/>
  <c r="J19" i="3"/>
  <c r="K24" i="3"/>
  <c r="K19" i="3"/>
  <c r="K27" i="3"/>
  <c r="K25" i="3"/>
  <c r="I24" i="3"/>
  <c r="I21" i="3"/>
  <c r="I23" i="3"/>
  <c r="I26" i="3"/>
  <c r="J27" i="3"/>
  <c r="J22" i="3"/>
  <c r="J18" i="3"/>
  <c r="K26" i="3"/>
  <c r="J21" i="3"/>
  <c r="K18" i="3"/>
  <c r="J26" i="3"/>
  <c r="J23" i="3"/>
  <c r="I22" i="3"/>
  <c r="K23" i="3"/>
  <c r="J25" i="3"/>
  <c r="I18" i="3"/>
  <c r="C25" i="3"/>
  <c r="D25" i="3"/>
  <c r="C23" i="3"/>
  <c r="C20" i="3"/>
  <c r="C22" i="3"/>
  <c r="D26" i="3"/>
  <c r="C26" i="3"/>
  <c r="C21" i="3"/>
  <c r="D23" i="3"/>
  <c r="D24" i="3"/>
  <c r="C24" i="3"/>
  <c r="D22" i="3"/>
  <c r="D27" i="3"/>
  <c r="D19" i="3"/>
  <c r="D18" i="3"/>
  <c r="D4" i="1"/>
  <c r="K11" i="3"/>
  <c r="K7" i="3"/>
  <c r="K6" i="3"/>
  <c r="K9" i="3"/>
  <c r="K5" i="3"/>
  <c r="K10" i="3"/>
  <c r="K12" i="3"/>
  <c r="K8" i="3"/>
  <c r="K4" i="3"/>
  <c r="K3" i="3"/>
  <c r="I3" i="3"/>
  <c r="J12" i="3"/>
  <c r="F11" i="3"/>
  <c r="F10" i="3"/>
  <c r="F9" i="3"/>
  <c r="F8" i="3"/>
  <c r="F7" i="3"/>
  <c r="F6" i="3"/>
  <c r="F5" i="3"/>
  <c r="H12" i="3"/>
  <c r="I12" i="3" s="1"/>
  <c r="F4" i="3"/>
  <c r="F3" i="3"/>
  <c r="G13" i="2"/>
  <c r="E4" i="1"/>
  <c r="C12" i="2"/>
  <c r="C9" i="2"/>
  <c r="C8" i="2"/>
  <c r="C11" i="2"/>
  <c r="G12" i="2"/>
  <c r="G4" i="2"/>
  <c r="I7" i="2"/>
  <c r="I11" i="2"/>
  <c r="H11" i="2"/>
  <c r="I9" i="2"/>
  <c r="H7" i="2"/>
  <c r="H12" i="2"/>
  <c r="H8" i="2"/>
  <c r="I12" i="2"/>
  <c r="I10" i="2"/>
  <c r="H10" i="2"/>
  <c r="H6" i="2"/>
  <c r="I13" i="2"/>
  <c r="I5" i="2"/>
  <c r="H13" i="2"/>
  <c r="H9" i="2"/>
  <c r="H5" i="2"/>
  <c r="I8" i="2"/>
  <c r="G10" i="2"/>
  <c r="G9" i="2"/>
  <c r="G6" i="2"/>
  <c r="G11" i="2"/>
  <c r="I6" i="2"/>
  <c r="G8" i="2"/>
  <c r="G7" i="2"/>
  <c r="G5" i="2"/>
  <c r="I4" i="2"/>
  <c r="H4" i="2"/>
  <c r="C4" i="2"/>
  <c r="J7" i="1"/>
  <c r="J4" i="1"/>
  <c r="I6" i="1"/>
  <c r="I5" i="1"/>
  <c r="I12" i="1"/>
  <c r="I13" i="1"/>
  <c r="J12" i="1"/>
  <c r="J11" i="1"/>
  <c r="J10" i="1"/>
  <c r="J9" i="1"/>
  <c r="J8" i="1"/>
  <c r="J6" i="1"/>
  <c r="J13" i="1"/>
  <c r="J5" i="1"/>
  <c r="I7" i="1"/>
  <c r="I11" i="1"/>
  <c r="I10" i="1"/>
  <c r="I8" i="1"/>
  <c r="I9" i="1"/>
  <c r="I4" i="1"/>
  <c r="E10" i="1"/>
  <c r="D11" i="1"/>
  <c r="D5" i="1"/>
  <c r="D12" i="1"/>
  <c r="D6" i="1"/>
  <c r="D8" i="1"/>
  <c r="D13" i="1"/>
  <c r="D7" i="1"/>
  <c r="E8" i="1"/>
  <c r="D9" i="1"/>
  <c r="D10" i="1"/>
  <c r="E13" i="1"/>
  <c r="E7" i="1"/>
  <c r="E12" i="1"/>
  <c r="E6" i="1"/>
  <c r="E11" i="1"/>
  <c r="E9" i="1"/>
  <c r="E5" i="1"/>
  <c r="M21" i="3" l="1"/>
  <c r="M25" i="3"/>
  <c r="M27" i="3"/>
  <c r="M19" i="3"/>
  <c r="M20" i="3"/>
  <c r="M23" i="3"/>
  <c r="M24" i="3"/>
  <c r="M22" i="3"/>
  <c r="M18" i="3"/>
  <c r="M26" i="3"/>
  <c r="L21" i="3"/>
  <c r="L27" i="3"/>
  <c r="L22" i="3"/>
  <c r="L24" i="3"/>
  <c r="D20" i="3"/>
  <c r="J5" i="3"/>
  <c r="L5" i="3"/>
  <c r="J9" i="3"/>
  <c r="L9" i="3"/>
  <c r="J10" i="3"/>
  <c r="L10" i="3"/>
  <c r="J6" i="3"/>
  <c r="L6" i="3"/>
  <c r="J7" i="3"/>
  <c r="L7" i="3"/>
  <c r="J8" i="3"/>
  <c r="L8" i="3"/>
  <c r="J4" i="3"/>
  <c r="L4" i="3"/>
  <c r="J11" i="3"/>
  <c r="L11" i="3"/>
  <c r="J3" i="3"/>
  <c r="L3" i="3"/>
  <c r="M5" i="2" a="1"/>
  <c r="M5" i="2" s="1"/>
  <c r="M10" i="2"/>
  <c r="M13" i="2"/>
  <c r="M7" i="2"/>
  <c r="M8" i="2"/>
  <c r="M9" i="2"/>
  <c r="M6" i="2"/>
  <c r="M12" i="2"/>
  <c r="M11" i="2"/>
  <c r="M4" i="2"/>
  <c r="L12" i="2"/>
  <c r="L5" i="2"/>
  <c r="L7" i="2"/>
  <c r="L4" i="2"/>
  <c r="L13" i="2"/>
  <c r="L6" i="2"/>
  <c r="L11" i="2"/>
  <c r="L8" i="2"/>
  <c r="L10" i="2"/>
  <c r="L9" i="2"/>
  <c r="J12" i="2"/>
  <c r="J7" i="2"/>
  <c r="J11" i="2"/>
  <c r="J6" i="2"/>
  <c r="J9" i="2"/>
  <c r="J10" i="2"/>
  <c r="J5" i="2"/>
  <c r="J13" i="2"/>
  <c r="J8" i="2"/>
  <c r="J4" i="2"/>
  <c r="J14" i="1"/>
  <c r="I14" i="1"/>
  <c r="E14" i="1"/>
  <c r="D14" i="1"/>
  <c r="J13" i="3" l="1"/>
  <c r="M28" i="3"/>
  <c r="L23" i="3"/>
  <c r="L26" i="3"/>
  <c r="L25" i="3"/>
  <c r="L18" i="3"/>
  <c r="L19" i="3"/>
  <c r="L14" i="2"/>
  <c r="E15" i="1"/>
  <c r="J15" i="1"/>
  <c r="L20" i="3" l="1"/>
  <c r="F1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<sst xmlns="http://schemas.openxmlformats.org/spreadsheetml/2006/main" count="61" uniqueCount="39">
  <si>
    <t>y*log(p)</t>
  </si>
  <si>
    <t>(1-y)*log(1-p)</t>
  </si>
  <si>
    <t>Log-Loss</t>
    <phoneticPr fontId="2" type="noConversion"/>
  </si>
  <si>
    <t>p : p(y=1)</t>
    <phoneticPr fontId="2" type="noConversion"/>
  </si>
  <si>
    <t>Model A</t>
    <phoneticPr fontId="2" type="noConversion"/>
  </si>
  <si>
    <t>Model B</t>
    <phoneticPr fontId="2" type="noConversion"/>
  </si>
  <si>
    <t>sum of log loss</t>
    <phoneticPr fontId="2" type="noConversion"/>
  </si>
  <si>
    <t>Total sum of log loss</t>
    <phoneticPr fontId="2" type="noConversion"/>
  </si>
  <si>
    <t>y_hat</t>
    <phoneticPr fontId="2" type="noConversion"/>
  </si>
  <si>
    <t>y (actual)</t>
    <phoneticPr fontId="2" type="noConversion"/>
  </si>
  <si>
    <t xml:space="preserve">모델 </t>
    <phoneticPr fontId="2" type="noConversion"/>
  </si>
  <si>
    <t>가 더 우수함</t>
    <phoneticPr fontId="2" type="noConversion"/>
  </si>
  <si>
    <t>`</t>
    <phoneticPr fontId="2" type="noConversion"/>
  </si>
  <si>
    <t>Cross-Entropy</t>
    <phoneticPr fontId="2" type="noConversion"/>
  </si>
  <si>
    <t>p(y=1)</t>
    <phoneticPr fontId="2" type="noConversion"/>
  </si>
  <si>
    <t>p(y=2)</t>
  </si>
  <si>
    <t>p(y=3)</t>
  </si>
  <si>
    <t>total</t>
    <phoneticPr fontId="2" type="noConversion"/>
  </si>
  <si>
    <t>softmax(generate probability)</t>
    <phoneticPr fontId="2" type="noConversion"/>
  </si>
  <si>
    <t>H(P, Q)</t>
    <phoneticPr fontId="2" type="noConversion"/>
  </si>
  <si>
    <t>inner product</t>
    <phoneticPr fontId="2" type="noConversion"/>
  </si>
  <si>
    <t xml:space="preserve">단순계산 </t>
    <phoneticPr fontId="2" type="noConversion"/>
  </si>
  <si>
    <t>Total Loss</t>
    <phoneticPr fontId="2" type="noConversion"/>
  </si>
  <si>
    <t>logit(1)</t>
    <phoneticPr fontId="2" type="noConversion"/>
  </si>
  <si>
    <t>logit(2)</t>
  </si>
  <si>
    <t>logit(3)</t>
  </si>
  <si>
    <t>logit scores</t>
    <phoneticPr fontId="2" type="noConversion"/>
  </si>
  <si>
    <t>Sum(softmax)</t>
    <phoneticPr fontId="2" type="noConversion"/>
  </si>
  <si>
    <t>P(y=1)</t>
    <phoneticPr fontId="2" type="noConversion"/>
  </si>
  <si>
    <t>confusion
matrix</t>
    <phoneticPr fontId="2" type="noConversion"/>
  </si>
  <si>
    <t>P(y=0)</t>
    <phoneticPr fontId="2" type="noConversion"/>
  </si>
  <si>
    <t>H(P,Q)</t>
    <phoneticPr fontId="2" type="noConversion"/>
  </si>
  <si>
    <t>logloss</t>
    <phoneticPr fontId="2" type="noConversion"/>
  </si>
  <si>
    <t>H(P, Q)
inner product</t>
    <phoneticPr fontId="2" type="noConversion"/>
  </si>
  <si>
    <t>y(actual)</t>
    <phoneticPr fontId="2" type="noConversion"/>
  </si>
  <si>
    <t>Cat</t>
    <phoneticPr fontId="2" type="noConversion"/>
  </si>
  <si>
    <t>Dog</t>
    <phoneticPr fontId="2" type="noConversion"/>
  </si>
  <si>
    <t>Fish</t>
    <phoneticPr fontId="2" type="noConversion"/>
  </si>
  <si>
    <t>Loss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</si>
</sst>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_-;\-* #,##0.00_-;_-* &quot;-&quot;_-;_-@_-"/>
    <numFmt numFmtId="177" formatCode="#,##0.00_ "/>
    <numFmt numFmtId="178" formatCode="#,##0_ "/>
    <numFmt numFmtId="184" formatCode="0.0000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name val="D2Coding"/>
      <family val="3"/>
      <charset val="129"/>
    </font>
    <font>
      <sz val="18"/>
      <name val="D2Coding"/>
      <family val="3"/>
      <charset val="129"/>
    </font>
    <font>
      <b/>
      <sz val="18"/>
      <name val="D2Coding"/>
      <family val="3"/>
      <charset val="129"/>
    </font>
    <font>
      <b/>
      <sz val="18"/>
      <color theme="0"/>
      <name val="D2Coding"/>
      <family val="3"/>
      <charset val="129"/>
    </font>
    <font>
      <b/>
      <sz val="16"/>
      <name val="D2Coding"/>
      <family val="3"/>
      <charset val="129"/>
    </font>
    <font>
      <sz val="16"/>
      <name val="D2Coding"/>
      <family val="3"/>
      <charset val="129"/>
    </font>
    <font>
      <b/>
      <sz val="14"/>
      <name val="D2Coding"/>
      <family val="3"/>
      <charset val="129"/>
    </font>
    <font>
      <sz val="14"/>
      <name val="D2Coding"/>
      <family val="3"/>
      <charset val="129"/>
    </font>
    <font>
      <sz val="14"/>
      <name val="맑은 고딕"/>
      <family val="2"/>
      <charset val="129"/>
      <scheme val="minor"/>
    </font>
    <font>
      <i/>
      <sz val="16"/>
      <name val="D2Coding"/>
      <family val="3"/>
      <charset val="129"/>
    </font>
    <font>
      <sz val="18"/>
      <color theme="1"/>
      <name val="D2Coding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176" fontId="3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right" vertical="center"/>
    </xf>
    <xf numFmtId="176" fontId="4" fillId="0" borderId="0" xfId="1" applyNumberFormat="1" applyFont="1" applyBorder="1" applyAlignment="1">
      <alignment horizontal="right" vertical="center"/>
    </xf>
    <xf numFmtId="176" fontId="4" fillId="0" borderId="1" xfId="1" applyNumberFormat="1" applyFont="1" applyBorder="1" applyAlignment="1">
      <alignment horizontal="right" vertical="center"/>
    </xf>
    <xf numFmtId="178" fontId="4" fillId="0" borderId="8" xfId="1" applyNumberFormat="1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8" fontId="4" fillId="0" borderId="6" xfId="1" applyNumberFormat="1" applyFont="1" applyBorder="1" applyAlignment="1">
      <alignment horizontal="right" vertical="center"/>
    </xf>
    <xf numFmtId="176" fontId="4" fillId="0" borderId="2" xfId="1" applyNumberFormat="1" applyFont="1" applyBorder="1" applyAlignment="1">
      <alignment horizontal="left" vertical="center"/>
    </xf>
    <xf numFmtId="176" fontId="4" fillId="0" borderId="3" xfId="1" applyNumberFormat="1" applyFont="1" applyBorder="1" applyAlignment="1">
      <alignment horizontal="right" vertical="center"/>
    </xf>
    <xf numFmtId="176" fontId="4" fillId="0" borderId="4" xfId="1" applyNumberFormat="1" applyFont="1" applyBorder="1" applyAlignment="1">
      <alignment horizontal="right" vertical="center"/>
    </xf>
    <xf numFmtId="176" fontId="4" fillId="0" borderId="2" xfId="1" applyNumberFormat="1" applyFont="1" applyBorder="1" applyAlignment="1">
      <alignment horizontal="right" vertical="center"/>
    </xf>
    <xf numFmtId="176" fontId="4" fillId="0" borderId="5" xfId="1" applyNumberFormat="1" applyFont="1" applyBorder="1" applyAlignment="1">
      <alignment horizontal="left" vertical="center"/>
    </xf>
    <xf numFmtId="176" fontId="4" fillId="0" borderId="6" xfId="1" applyNumberFormat="1" applyFont="1" applyBorder="1" applyAlignment="1">
      <alignment horizontal="right" vertical="center"/>
    </xf>
    <xf numFmtId="176" fontId="4" fillId="0" borderId="7" xfId="1" applyNumberFormat="1" applyFont="1" applyBorder="1" applyAlignment="1">
      <alignment horizontal="right" vertical="center"/>
    </xf>
    <xf numFmtId="176" fontId="4" fillId="0" borderId="5" xfId="1" applyNumberFormat="1" applyFont="1" applyBorder="1" applyAlignment="1">
      <alignment horizontal="right" vertical="center"/>
    </xf>
    <xf numFmtId="176" fontId="6" fillId="2" borderId="0" xfId="1" applyNumberFormat="1" applyFont="1" applyFill="1" applyAlignment="1">
      <alignment horizontal="right" vertical="center"/>
    </xf>
    <xf numFmtId="176" fontId="6" fillId="2" borderId="0" xfId="1" applyNumberFormat="1" applyFont="1" applyFill="1" applyAlignment="1">
      <alignment horizontal="left" vertical="center"/>
    </xf>
    <xf numFmtId="176" fontId="5" fillId="0" borderId="0" xfId="1" applyNumberFormat="1" applyFont="1" applyAlignment="1">
      <alignment horizontal="left" vertical="center"/>
    </xf>
    <xf numFmtId="176" fontId="8" fillId="0" borderId="0" xfId="1" applyNumberFormat="1" applyFont="1" applyAlignment="1">
      <alignment horizontal="right" vertical="center"/>
    </xf>
    <xf numFmtId="176" fontId="8" fillId="0" borderId="0" xfId="1" applyNumberFormat="1" applyFont="1" applyBorder="1" applyAlignment="1">
      <alignment horizontal="right" vertical="center"/>
    </xf>
    <xf numFmtId="178" fontId="8" fillId="0" borderId="0" xfId="1" applyNumberFormat="1" applyFont="1" applyBorder="1" applyAlignment="1">
      <alignment horizontal="right" vertical="center"/>
    </xf>
    <xf numFmtId="177" fontId="8" fillId="0" borderId="0" xfId="1" applyNumberFormat="1" applyFont="1" applyBorder="1" applyAlignment="1">
      <alignment horizontal="right" vertical="center"/>
    </xf>
    <xf numFmtId="176" fontId="9" fillId="0" borderId="0" xfId="1" applyNumberFormat="1" applyFont="1" applyAlignment="1">
      <alignment horizontal="left" vertical="center"/>
    </xf>
    <xf numFmtId="176" fontId="10" fillId="0" borderId="0" xfId="1" applyNumberFormat="1" applyFont="1" applyAlignment="1">
      <alignment horizontal="right" vertical="center"/>
    </xf>
    <xf numFmtId="176" fontId="10" fillId="0" borderId="0" xfId="1" applyNumberFormat="1" applyFont="1" applyBorder="1" applyAlignment="1">
      <alignment horizontal="right" vertical="center"/>
    </xf>
    <xf numFmtId="176" fontId="8" fillId="0" borderId="10" xfId="1" applyNumberFormat="1" applyFont="1" applyBorder="1" applyAlignment="1">
      <alignment horizontal="right" vertical="center"/>
    </xf>
    <xf numFmtId="0" fontId="11" fillId="0" borderId="0" xfId="0" applyFont="1">
      <alignment vertical="center"/>
    </xf>
    <xf numFmtId="176" fontId="12" fillId="0" borderId="0" xfId="1" applyNumberFormat="1" applyFont="1" applyBorder="1" applyAlignment="1">
      <alignment horizontal="right" vertical="center"/>
    </xf>
    <xf numFmtId="176" fontId="12" fillId="0" borderId="12" xfId="1" applyNumberFormat="1" applyFont="1" applyBorder="1" applyAlignment="1">
      <alignment horizontal="right" vertical="center"/>
    </xf>
    <xf numFmtId="176" fontId="10" fillId="3" borderId="0" xfId="1" applyNumberFormat="1" applyFont="1" applyFill="1" applyBorder="1" applyAlignment="1">
      <alignment horizontal="right" vertical="center"/>
    </xf>
    <xf numFmtId="176" fontId="7" fillId="3" borderId="0" xfId="1" applyNumberFormat="1" applyFont="1" applyFill="1" applyBorder="1" applyAlignment="1">
      <alignment horizontal="right" vertical="center"/>
    </xf>
    <xf numFmtId="176" fontId="8" fillId="3" borderId="0" xfId="1" applyNumberFormat="1" applyFont="1" applyFill="1" applyBorder="1" applyAlignment="1">
      <alignment horizontal="right" vertical="center"/>
    </xf>
    <xf numFmtId="176" fontId="12" fillId="0" borderId="13" xfId="1" quotePrefix="1" applyNumberFormat="1" applyFont="1" applyBorder="1" applyAlignment="1">
      <alignment horizontal="right" vertical="center"/>
    </xf>
    <xf numFmtId="176" fontId="12" fillId="0" borderId="14" xfId="1" quotePrefix="1" applyNumberFormat="1" applyFont="1" applyBorder="1" applyAlignment="1">
      <alignment horizontal="right" vertical="center"/>
    </xf>
    <xf numFmtId="176" fontId="8" fillId="0" borderId="6" xfId="1" applyNumberFormat="1" applyFont="1" applyBorder="1" applyAlignment="1">
      <alignment horizontal="right" vertical="center"/>
    </xf>
    <xf numFmtId="176" fontId="8" fillId="0" borderId="5" xfId="1" applyNumberFormat="1" applyFont="1" applyBorder="1" applyAlignment="1">
      <alignment horizontal="right" vertical="center"/>
    </xf>
    <xf numFmtId="176" fontId="8" fillId="0" borderId="7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177" fontId="8" fillId="0" borderId="16" xfId="1" applyNumberFormat="1" applyFont="1" applyBorder="1" applyAlignment="1">
      <alignment horizontal="right" vertical="center"/>
    </xf>
    <xf numFmtId="177" fontId="8" fillId="0" borderId="5" xfId="1" applyNumberFormat="1" applyFont="1" applyBorder="1" applyAlignment="1">
      <alignment horizontal="right" vertical="center"/>
    </xf>
    <xf numFmtId="177" fontId="8" fillId="0" borderId="7" xfId="1" applyNumberFormat="1" applyFont="1" applyBorder="1" applyAlignment="1">
      <alignment horizontal="right" vertical="center"/>
    </xf>
    <xf numFmtId="176" fontId="8" fillId="0" borderId="9" xfId="1" applyNumberFormat="1" applyFont="1" applyBorder="1" applyAlignment="1">
      <alignment horizontal="right" vertical="center"/>
    </xf>
    <xf numFmtId="176" fontId="8" fillId="0" borderId="11" xfId="1" applyNumberFormat="1" applyFont="1" applyBorder="1" applyAlignment="1">
      <alignment horizontal="right" vertical="center"/>
    </xf>
    <xf numFmtId="176" fontId="8" fillId="0" borderId="15" xfId="1" applyNumberFormat="1" applyFont="1" applyBorder="1" applyAlignment="1">
      <alignment horizontal="right" vertical="center"/>
    </xf>
    <xf numFmtId="176" fontId="8" fillId="0" borderId="16" xfId="1" applyNumberFormat="1" applyFont="1" applyBorder="1" applyAlignment="1">
      <alignment horizontal="right" vertical="center"/>
    </xf>
    <xf numFmtId="176" fontId="10" fillId="0" borderId="0" xfId="1" quotePrefix="1" applyNumberFormat="1" applyFont="1" applyAlignment="1">
      <alignment horizontal="right" vertical="center"/>
    </xf>
    <xf numFmtId="178" fontId="8" fillId="0" borderId="6" xfId="1" applyNumberFormat="1" applyFont="1" applyBorder="1" applyAlignment="1">
      <alignment horizontal="right" vertical="center"/>
    </xf>
    <xf numFmtId="176" fontId="12" fillId="0" borderId="17" xfId="1" applyNumberFormat="1" applyFont="1" applyBorder="1" applyAlignment="1">
      <alignment horizontal="right" vertical="center"/>
    </xf>
    <xf numFmtId="176" fontId="12" fillId="0" borderId="6" xfId="1" applyNumberFormat="1" applyFont="1" applyBorder="1" applyAlignment="1">
      <alignment horizontal="right" vertical="center"/>
    </xf>
    <xf numFmtId="177" fontId="8" fillId="0" borderId="6" xfId="1" applyNumberFormat="1" applyFont="1" applyBorder="1" applyAlignment="1">
      <alignment horizontal="right" vertical="center"/>
    </xf>
    <xf numFmtId="176" fontId="5" fillId="0" borderId="9" xfId="1" applyNumberFormat="1" applyFont="1" applyBorder="1" applyAlignment="1">
      <alignment horizontal="center" vertical="center"/>
    </xf>
    <xf numFmtId="176" fontId="5" fillId="0" borderId="10" xfId="1" applyNumberFormat="1" applyFont="1" applyBorder="1" applyAlignment="1">
      <alignment horizontal="center" vertical="center"/>
    </xf>
    <xf numFmtId="176" fontId="5" fillId="0" borderId="11" xfId="1" applyNumberFormat="1" applyFont="1" applyBorder="1" applyAlignment="1">
      <alignment horizontal="center" vertical="center"/>
    </xf>
    <xf numFmtId="176" fontId="8" fillId="0" borderId="6" xfId="1" applyNumberFormat="1" applyFont="1" applyBorder="1" applyAlignment="1">
      <alignment horizontal="center" vertical="center"/>
    </xf>
    <xf numFmtId="176" fontId="8" fillId="0" borderId="9" xfId="1" applyNumberFormat="1" applyFont="1" applyBorder="1" applyAlignment="1">
      <alignment horizontal="center" vertical="center"/>
    </xf>
    <xf numFmtId="176" fontId="8" fillId="0" borderId="10" xfId="1" applyNumberFormat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176" fontId="8" fillId="0" borderId="2" xfId="1" applyNumberFormat="1" applyFont="1" applyBorder="1" applyAlignment="1">
      <alignment horizontal="center" vertical="center"/>
    </xf>
    <xf numFmtId="176" fontId="8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178" fontId="4" fillId="4" borderId="0" xfId="1" applyNumberFormat="1" applyFont="1" applyFill="1" applyBorder="1" applyAlignment="1">
      <alignment horizontal="right" vertical="center"/>
    </xf>
    <xf numFmtId="176" fontId="4" fillId="5" borderId="0" xfId="1" applyNumberFormat="1" applyFont="1" applyFill="1" applyBorder="1" applyAlignment="1">
      <alignment horizontal="right" vertical="center"/>
    </xf>
    <xf numFmtId="0" fontId="13" fillId="5" borderId="0" xfId="0" applyFont="1" applyFill="1" applyBorder="1" applyAlignment="1">
      <alignment horizontal="right" vertical="center"/>
    </xf>
    <xf numFmtId="184" fontId="13" fillId="0" borderId="0" xfId="0" applyNumberFormat="1" applyFont="1" applyAlignment="1">
      <alignment horizontal="right" vertical="center"/>
    </xf>
    <xf numFmtId="176" fontId="4" fillId="0" borderId="18" xfId="1" applyNumberFormat="1" applyFont="1" applyBorder="1" applyAlignment="1">
      <alignment horizontal="right" vertical="center"/>
    </xf>
    <xf numFmtId="176" fontId="4" fillId="4" borderId="18" xfId="1" applyNumberFormat="1" applyFont="1" applyFill="1" applyBorder="1" applyAlignment="1">
      <alignment horizontal="right" vertical="center"/>
    </xf>
    <xf numFmtId="176" fontId="4" fillId="5" borderId="18" xfId="1" applyNumberFormat="1" applyFont="1" applyFill="1" applyBorder="1" applyAlignment="1">
      <alignment horizontal="right" vertical="center"/>
    </xf>
    <xf numFmtId="0" fontId="13" fillId="0" borderId="18" xfId="0" applyFont="1" applyBorder="1" applyAlignment="1">
      <alignment horizontal="right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4" borderId="18" xfId="0" applyFill="1" applyBorder="1" applyAlignment="1">
      <alignment horizontal="right" vertical="center"/>
    </xf>
    <xf numFmtId="176" fontId="4" fillId="4" borderId="6" xfId="1" applyNumberFormat="1" applyFont="1" applyFill="1" applyBorder="1" applyAlignment="1">
      <alignment horizontal="right" vertical="center"/>
    </xf>
    <xf numFmtId="176" fontId="4" fillId="5" borderId="16" xfId="1" applyNumberFormat="1" applyFont="1" applyFill="1" applyBorder="1" applyAlignment="1">
      <alignment horizontal="center" vertical="center"/>
    </xf>
    <xf numFmtId="176" fontId="4" fillId="5" borderId="7" xfId="1" applyNumberFormat="1" applyFont="1" applyFill="1" applyBorder="1" applyAlignment="1">
      <alignment horizontal="center" vertical="center"/>
    </xf>
    <xf numFmtId="176" fontId="4" fillId="0" borderId="9" xfId="1" applyNumberFormat="1" applyFont="1" applyBorder="1" applyAlignment="1">
      <alignment horizontal="center" vertical="center"/>
    </xf>
    <xf numFmtId="176" fontId="4" fillId="0" borderId="10" xfId="1" applyNumberFormat="1" applyFont="1" applyBorder="1" applyAlignment="1">
      <alignment horizontal="center" vertical="center"/>
    </xf>
    <xf numFmtId="176" fontId="4" fillId="0" borderId="11" xfId="1" applyNumberFormat="1" applyFont="1" applyBorder="1" applyAlignment="1">
      <alignment horizontal="center" vertical="center"/>
    </xf>
    <xf numFmtId="176" fontId="4" fillId="0" borderId="19" xfId="1" applyNumberFormat="1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right" vertical="center"/>
    </xf>
    <xf numFmtId="176" fontId="4" fillId="0" borderId="9" xfId="1" applyNumberFormat="1" applyFont="1" applyBorder="1" applyAlignment="1">
      <alignment horizontal="right" vertical="center"/>
    </xf>
    <xf numFmtId="176" fontId="4" fillId="0" borderId="10" xfId="1" applyNumberFormat="1" applyFont="1" applyBorder="1" applyAlignment="1">
      <alignment horizontal="right" vertical="center"/>
    </xf>
    <xf numFmtId="176" fontId="4" fillId="0" borderId="11" xfId="1" applyNumberFormat="1" applyFont="1" applyBorder="1" applyAlignment="1">
      <alignment horizontal="right" vertical="center"/>
    </xf>
    <xf numFmtId="176" fontId="4" fillId="0" borderId="20" xfId="1" applyNumberFormat="1" applyFont="1" applyBorder="1" applyAlignment="1">
      <alignment horizontal="center" vertical="center"/>
    </xf>
    <xf numFmtId="176" fontId="4" fillId="0" borderId="13" xfId="1" quotePrefix="1" applyNumberFormat="1" applyFont="1" applyBorder="1" applyAlignment="1">
      <alignment horizontal="right" vertical="center"/>
    </xf>
    <xf numFmtId="176" fontId="4" fillId="0" borderId="14" xfId="1" quotePrefix="1" applyNumberFormat="1" applyFont="1" applyBorder="1" applyAlignment="1">
      <alignment horizontal="right" vertical="center"/>
    </xf>
    <xf numFmtId="176" fontId="4" fillId="0" borderId="19" xfId="1" quotePrefix="1" applyNumberFormat="1" applyFont="1" applyBorder="1" applyAlignment="1">
      <alignment horizontal="center" vertical="center"/>
    </xf>
    <xf numFmtId="176" fontId="4" fillId="0" borderId="20" xfId="1" quotePrefix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243460</xdr:colOff>
      <xdr:row>11</xdr:row>
      <xdr:rowOff>266854</xdr:rowOff>
    </xdr:from>
    <xdr:to>
      <xdr:col>15</xdr:col>
      <xdr:colOff>393583</xdr:colOff>
      <xdr:row>14</xdr:row>
      <xdr:rowOff>233592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D332E0-68C0-4F0A-9C52-AB0AA2C88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949434" y="4116959"/>
          <a:ext cx="3518965" cy="919238"/>
        </a:xfrm>
        <a:prstGeom prst="rect">
          <a:avLst/>
        </a:prstGeom>
      </xdr:spPr>
    </xdr:pic>
    <xdr:clientData/>
  </xdr:twoCellAnchor>
  <xdr:twoCellAnchor editAs="oneCell">
    <xdr:from>
      <xdr:col>12</xdr:col>
      <xdr:colOff>312617</xdr:colOff>
      <xdr:row>3</xdr:row>
      <xdr:rowOff>29308</xdr:rowOff>
    </xdr:from>
    <xdr:to>
      <xdr:col>17</xdr:col>
      <xdr:colOff>1036</xdr:colOff>
      <xdr:row>4</xdr:row>
      <xdr:rowOff>194072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1D6125C-9DFD-458F-9BB9-600BEA20B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33386" y="1709616"/>
          <a:ext cx="4389990" cy="457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42334</xdr:colOff>
      <xdr:row>0</xdr:row>
      <xdr:rowOff>232834</xdr:rowOff>
    </xdr:from>
    <xdr:to>
      <xdr:col>3</xdr:col>
      <xdr:colOff>1320824</xdr:colOff>
      <xdr:row>0</xdr:row>
      <xdr:rowOff>690676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8A7B801-0A51-4A98-B12E-63322EDDA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1" y="232834"/>
          <a:ext cx="4389990" cy="457842"/>
        </a:xfrm>
        <a:prstGeom prst="rect">
          <a:avLst/>
        </a:prstGeom>
      </xdr:spPr>
    </xdr:pic>
    <xdr:clientData/>
  </xdr:twoCellAnchor>
  <xdr:twoCellAnchor>
    <xdr:from>
      <xdr:col>4</xdr:col>
      <xdr:colOff>10584</xdr:colOff>
      <xdr:row>0</xdr:row>
      <xdr:rowOff>264585</xdr:rowOff>
    </xdr:from>
    <xdr:to>
      <xdr:col>9</xdr:col>
      <xdr:colOff>1778001</xdr:colOff>
      <xdr:row>0</xdr:row>
      <xdr:rowOff>709085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C6290B-CF38-49C4-9C8F-0100CE38663D}"/>
            </a:ext>
          </a:extLst>
        </xdr:cNvPr>
        <xdr:cNvSpPr txBox="1"/>
      </xdr:nvSpPr>
      <xdr:spPr>
        <a:xfrm>
          <a:off x="6466417" y="264585"/>
          <a:ext cx="8773584" cy="44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>
              <a:latin typeface="+mj-ea"/>
              <a:ea typeface="+mj-ea"/>
            </a:rPr>
            <a:t>분류 문제에서 정답이 아닌 곳</a:t>
          </a:r>
          <a:r>
            <a:rPr lang="en-US" altLang="ko-KR" sz="1600">
              <a:latin typeface="+mj-ea"/>
              <a:ea typeface="+mj-ea"/>
            </a:rPr>
            <a:t>(0)</a:t>
          </a:r>
          <a:r>
            <a:rPr lang="ko-KR" altLang="en-US" sz="1600">
              <a:latin typeface="+mj-ea"/>
              <a:ea typeface="+mj-ea"/>
            </a:rPr>
            <a:t>은 곱셈에 의해 모두 사라지고</a:t>
          </a:r>
          <a:r>
            <a:rPr lang="en-US" altLang="ko-KR" sz="1600">
              <a:latin typeface="+mj-ea"/>
              <a:ea typeface="+mj-ea"/>
            </a:rPr>
            <a:t>, </a:t>
          </a:r>
          <a:r>
            <a:rPr lang="ko-KR" altLang="en-US" sz="1600">
              <a:latin typeface="+mj-ea"/>
              <a:ea typeface="+mj-ea"/>
            </a:rPr>
            <a:t>정답인 위치의 확률값만 남는다</a:t>
          </a:r>
          <a:r>
            <a:rPr lang="en-US" altLang="ko-KR" sz="1600">
              <a:latin typeface="+mj-ea"/>
              <a:ea typeface="+mj-ea"/>
            </a:rPr>
            <a:t>.</a:t>
          </a:r>
          <a:endParaRPr lang="ko-KR" altLang="en-US" sz="1600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549797</xdr:colOff>
      <xdr:row>0</xdr:row>
      <xdr:rowOff>279724</xdr:rowOff>
    </xdr:from>
    <xdr:to>
      <xdr:col>6</xdr:col>
      <xdr:colOff>195323</xdr:colOff>
      <xdr:row>0</xdr:row>
      <xdr:rowOff>1124512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AD74360-CCF4-B8C7-480C-D7341F47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012" y="279724"/>
          <a:ext cx="3240913" cy="844788"/>
        </a:xfrm>
        <a:prstGeom prst="rect">
          <a:avLst/>
        </a:prstGeom>
      </xdr:spPr>
    </xdr:pic>
    <xdr:clientData/>
  </xdr:twoCellAnchor>
  <xdr:twoCellAnchor>
    <xdr:from>
      <xdr:col>6</xdr:col>
      <xdr:colOff>337595</xdr:colOff>
      <xdr:row>0</xdr:row>
      <xdr:rowOff>270076</xdr:rowOff>
    </xdr:from>
    <xdr:to>
      <xdr:col>13</xdr:col>
      <xdr:colOff>1388962</xdr:colOff>
      <xdr:row>0</xdr:row>
      <xdr:rowOff>1012785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955AD2-4468-98F7-1E62-C02720BF222F}"/>
            </a:ext>
          </a:extLst>
        </xdr:cNvPr>
        <xdr:cNvSpPr txBox="1"/>
      </xdr:nvSpPr>
      <xdr:spPr>
        <a:xfrm>
          <a:off x="5025342" y="270076"/>
          <a:ext cx="8410936" cy="742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>
              <a:latin typeface="+mj-ea"/>
              <a:ea typeface="+mj-ea"/>
            </a:rPr>
            <a:t>- </a:t>
          </a:r>
          <a:r>
            <a:rPr lang="ko-KR" altLang="en-US" sz="1400">
              <a:latin typeface="+mj-ea"/>
              <a:ea typeface="+mj-ea"/>
            </a:rPr>
            <a:t>분류 문제에서 정답이 아닌 곳</a:t>
          </a:r>
          <a:r>
            <a:rPr lang="en-US" altLang="ko-KR" sz="1400">
              <a:latin typeface="+mj-ea"/>
              <a:ea typeface="+mj-ea"/>
            </a:rPr>
            <a:t>(0)</a:t>
          </a:r>
          <a:r>
            <a:rPr lang="ko-KR" altLang="en-US" sz="1400">
              <a:latin typeface="+mj-ea"/>
              <a:ea typeface="+mj-ea"/>
            </a:rPr>
            <a:t>은 곱셈에 의해 모두 사라지고</a:t>
          </a:r>
          <a:r>
            <a:rPr lang="en-US" altLang="ko-KR" sz="1400">
              <a:latin typeface="+mj-ea"/>
              <a:ea typeface="+mj-ea"/>
            </a:rPr>
            <a:t>, </a:t>
          </a:r>
          <a:r>
            <a:rPr lang="ko-KR" altLang="en-US" sz="1400">
              <a:latin typeface="+mj-ea"/>
              <a:ea typeface="+mj-ea"/>
            </a:rPr>
            <a:t>정답인 위치의 확률값만 남는다</a:t>
          </a:r>
          <a:r>
            <a:rPr lang="en-US" altLang="ko-KR" sz="1400">
              <a:latin typeface="+mj-ea"/>
              <a:ea typeface="+mj-ea"/>
            </a:rPr>
            <a:t>. </a:t>
          </a:r>
        </a:p>
        <a:p>
          <a:r>
            <a:rPr lang="en-US" altLang="ko-KR" sz="1400">
              <a:latin typeface="+mj-ea"/>
              <a:ea typeface="+mj-ea"/>
            </a:rPr>
            <a:t>- Log-loss</a:t>
          </a:r>
          <a:r>
            <a:rPr lang="ko-KR" altLang="en-US" sz="1400">
              <a:latin typeface="+mj-ea"/>
              <a:ea typeface="+mj-ea"/>
            </a:rPr>
            <a:t>는 </a:t>
          </a:r>
          <a:r>
            <a:rPr lang="en-US" altLang="ko-KR" sz="1400">
              <a:latin typeface="+mj-ea"/>
              <a:ea typeface="+mj-ea"/>
            </a:rPr>
            <a:t>Cross-Entropy</a:t>
          </a:r>
          <a:r>
            <a:rPr lang="ko-KR" altLang="en-US" sz="1400">
              <a:latin typeface="+mj-ea"/>
              <a:ea typeface="+mj-ea"/>
            </a:rPr>
            <a:t>의 이진분류의 특수한 경우이다</a:t>
          </a:r>
          <a:r>
            <a:rPr lang="en-US" altLang="ko-KR" sz="1400">
              <a:latin typeface="+mj-ea"/>
              <a:ea typeface="+mj-ea"/>
            </a:rPr>
            <a:t>.</a:t>
          </a:r>
          <a:endParaRPr lang="ko-KR" altLang="en-US" sz="1400"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23B7-4949-4BD9-8C88-0BCD9DF7A289}">
  <dimension ref="A1:N28"/>
  <sheetViews>
    <sheetView showGridLines="0" tabSelected="1" zoomScale="76" workbookViewId="0">
      <selection activeCell="M7" sqref="M7"/>
    </sheetView>
  </sheetViews>
  <sheetFormatPr defaultRowHeight="23.4" x14ac:dyDescent="0.4"/>
  <cols>
    <col min="1" max="3" width="9.19921875" style="61" customWidth="1"/>
    <col min="4" max="4" width="17" style="61" customWidth="1"/>
    <col min="5" max="7" width="17.19921875" style="61" bestFit="1" customWidth="1"/>
    <col min="8" max="8" width="15.5" style="63" bestFit="1" customWidth="1"/>
    <col min="9" max="9" width="15.5" style="61" bestFit="1" customWidth="1"/>
    <col min="10" max="10" width="13.8984375" style="61" bestFit="1" customWidth="1"/>
    <col min="11" max="11" width="17.19921875" style="61" bestFit="1" customWidth="1"/>
    <col min="12" max="12" width="21.296875" style="61" customWidth="1"/>
    <col min="13" max="13" width="23.19921875" style="61" customWidth="1"/>
    <col min="14" max="14" width="12.19921875" style="61" customWidth="1"/>
    <col min="15" max="16384" width="8.796875" style="61"/>
  </cols>
  <sheetData>
    <row r="1" spans="1:14" ht="43.2" customHeight="1" x14ac:dyDescent="0.4">
      <c r="H1" s="61"/>
      <c r="I1" s="63"/>
      <c r="J1" s="73" t="s">
        <v>31</v>
      </c>
      <c r="K1" s="72" t="s">
        <v>32</v>
      </c>
      <c r="L1" s="72"/>
    </row>
    <row r="2" spans="1:14" ht="46.8" x14ac:dyDescent="0.4">
      <c r="B2" s="75"/>
      <c r="C2" s="69"/>
      <c r="D2" s="69" t="s">
        <v>34</v>
      </c>
      <c r="E2" s="68" t="s">
        <v>28</v>
      </c>
      <c r="F2" s="68" t="s">
        <v>30</v>
      </c>
      <c r="G2" s="68"/>
      <c r="H2" s="70" t="s">
        <v>8</v>
      </c>
      <c r="I2" s="71" t="s">
        <v>29</v>
      </c>
      <c r="J2" s="72"/>
      <c r="K2" s="68" t="s">
        <v>0</v>
      </c>
      <c r="L2" s="68" t="s">
        <v>1</v>
      </c>
      <c r="M2" s="63"/>
      <c r="N2" s="63"/>
    </row>
    <row r="3" spans="1:14" x14ac:dyDescent="0.4">
      <c r="B3" s="64">
        <v>0</v>
      </c>
      <c r="C3" s="64">
        <f>1-B3</f>
        <v>1</v>
      </c>
      <c r="D3" s="64">
        <f>B3</f>
        <v>0</v>
      </c>
      <c r="E3" s="7">
        <f ca="1">RAND()</f>
        <v>0.44164730227502536</v>
      </c>
      <c r="F3" s="7">
        <f ca="1">1-E3</f>
        <v>0.55835269772497464</v>
      </c>
      <c r="G3" s="7"/>
      <c r="H3" s="66">
        <f ca="1">IF(E3&gt;= 0.5, TRUE, FALSE)*1</f>
        <v>0</v>
      </c>
      <c r="I3" s="63" t="str">
        <f ca="1">IF(AND(D3=1, H3=1), "TP",
 IF(AND(D3=0, H3=0), "TN",
  IF(AND(D3=0, H3=1), "FP",
   IF(AND(D3=1, H3=0), "FN", ""))))</f>
        <v>TN</v>
      </c>
      <c r="J3" s="67">
        <f ca="1">-SUMPRODUCT(B3:C3, LN(E3:F3))</f>
        <v>0.58276444150001172</v>
      </c>
      <c r="K3" s="67">
        <f ca="1">-D3*LN(E3)</f>
        <v>0</v>
      </c>
      <c r="L3" s="67">
        <f ca="1">-C3*LN(F3)</f>
        <v>0.58276444150001172</v>
      </c>
      <c r="M3" s="63"/>
      <c r="N3" s="63"/>
    </row>
    <row r="4" spans="1:14" x14ac:dyDescent="0.4">
      <c r="B4" s="64">
        <v>1</v>
      </c>
      <c r="C4" s="64">
        <f t="shared" ref="C4:C12" si="0">1-B4</f>
        <v>0</v>
      </c>
      <c r="D4" s="64">
        <f t="shared" ref="D4:D10" si="1">B4</f>
        <v>1</v>
      </c>
      <c r="E4" s="7">
        <f t="shared" ref="E4:E12" ca="1" si="2">RAND()</f>
        <v>0.61381296043493216</v>
      </c>
      <c r="F4" s="7">
        <f ca="1">1-E4</f>
        <v>0.38618703956506784</v>
      </c>
      <c r="G4" s="7"/>
      <c r="H4" s="66">
        <f ca="1">IF(E4&gt;= 0.5, TRUE, FALSE)*1</f>
        <v>1</v>
      </c>
      <c r="I4" s="63" t="str">
        <f ca="1">IF(AND(D4=1, H4=1), "TP",
 IF(AND(D4=0, H4=0), "TN",
  IF(AND(D4=0, H4=1), "FP",
   IF(AND(D4=1, H4=0), "FN", ""))))</f>
        <v>TP</v>
      </c>
      <c r="J4" s="67">
        <f ca="1">-SUMPRODUCT(B4:C4, LN(E4:F4))</f>
        <v>0.4880650219413305</v>
      </c>
      <c r="K4" s="67">
        <f ca="1">-D4*LN(E4)</f>
        <v>0.4880650219413305</v>
      </c>
      <c r="L4" s="67">
        <f ca="1">-C4*LN(F4)</f>
        <v>0</v>
      </c>
      <c r="M4" s="63"/>
      <c r="N4" s="63"/>
    </row>
    <row r="5" spans="1:14" x14ac:dyDescent="0.4">
      <c r="B5" s="64">
        <v>0</v>
      </c>
      <c r="C5" s="64">
        <f t="shared" si="0"/>
        <v>1</v>
      </c>
      <c r="D5" s="64">
        <f t="shared" si="1"/>
        <v>0</v>
      </c>
      <c r="E5" s="7">
        <f t="shared" ca="1" si="2"/>
        <v>0.729862224005428</v>
      </c>
      <c r="F5" s="7">
        <f ca="1">1-E5</f>
        <v>0.270137775994572</v>
      </c>
      <c r="G5" s="7"/>
      <c r="H5" s="66">
        <f ca="1">IF(E5&gt;= 0.5, TRUE, FALSE)*1</f>
        <v>1</v>
      </c>
      <c r="I5" s="63" t="str">
        <f ca="1">IF(AND(D5=1, H5=1), "TP",
 IF(AND(D5=0, H5=0), "TN",
  IF(AND(D5=0, H5=1), "FP",
   IF(AND(D5=1, H5=0), "FN", ""))))</f>
        <v>FP</v>
      </c>
      <c r="J5" s="67">
        <f ca="1">-SUMPRODUCT(B5:C5, LN(E5:F5))</f>
        <v>1.308823168671696</v>
      </c>
      <c r="K5" s="67">
        <f ca="1">-D5*LN(E5)</f>
        <v>0</v>
      </c>
      <c r="L5" s="67">
        <f ca="1">-C5*LN(F5)</f>
        <v>1.308823168671696</v>
      </c>
      <c r="M5" s="63"/>
      <c r="N5" s="63"/>
    </row>
    <row r="6" spans="1:14" x14ac:dyDescent="0.4">
      <c r="B6" s="64">
        <v>1</v>
      </c>
      <c r="C6" s="64">
        <f t="shared" si="0"/>
        <v>0</v>
      </c>
      <c r="D6" s="64">
        <f t="shared" si="1"/>
        <v>1</v>
      </c>
      <c r="E6" s="7">
        <f t="shared" ca="1" si="2"/>
        <v>0.85855467067292812</v>
      </c>
      <c r="F6" s="7">
        <f ca="1">1-E6</f>
        <v>0.14144532932707188</v>
      </c>
      <c r="G6" s="7"/>
      <c r="H6" s="66">
        <f ca="1">IF(E6&gt;= 0.5, TRUE, FALSE)*1</f>
        <v>1</v>
      </c>
      <c r="I6" s="63" t="str">
        <f ca="1">IF(AND(D6=1, H6=1), "TP",
 IF(AND(D6=0, H6=0), "TN",
  IF(AND(D6=0, H6=1), "FP",
   IF(AND(D6=1, H6=0), "FN", ""))))</f>
        <v>TP</v>
      </c>
      <c r="J6" s="67">
        <f ca="1">-SUMPRODUCT(B6:C6, LN(E6:F6))</f>
        <v>0.15250491904968144</v>
      </c>
      <c r="K6" s="67">
        <f ca="1">-D6*LN(E6)</f>
        <v>0.15250491904968144</v>
      </c>
      <c r="L6" s="67">
        <f ca="1">-C6*LN(F6)</f>
        <v>0</v>
      </c>
      <c r="M6" s="63"/>
      <c r="N6" s="63"/>
    </row>
    <row r="7" spans="1:14" x14ac:dyDescent="0.4">
      <c r="B7" s="64">
        <v>0</v>
      </c>
      <c r="C7" s="64">
        <f t="shared" si="0"/>
        <v>1</v>
      </c>
      <c r="D7" s="64">
        <f t="shared" si="1"/>
        <v>0</v>
      </c>
      <c r="E7" s="7">
        <f t="shared" ca="1" si="2"/>
        <v>0.9253285703084444</v>
      </c>
      <c r="F7" s="7">
        <f ca="1">1-E7</f>
        <v>7.4671429691555602E-2</v>
      </c>
      <c r="G7" s="7"/>
      <c r="H7" s="66">
        <f ca="1">IF(E7&gt;= 0.5, TRUE, FALSE)*1</f>
        <v>1</v>
      </c>
      <c r="I7" s="63" t="str">
        <f ca="1">IF(AND(D7=1, H7=1), "TP",
 IF(AND(D7=0, H7=0), "TN",
  IF(AND(D7=0, H7=1), "FP",
   IF(AND(D7=1, H7=0), "FN", ""))))</f>
        <v>FP</v>
      </c>
      <c r="J7" s="67">
        <f ca="1">-SUMPRODUCT(B7:C7, LN(E7:F7))</f>
        <v>2.5946577273178297</v>
      </c>
      <c r="K7" s="67">
        <f ca="1">-D7*LN(E7)</f>
        <v>0</v>
      </c>
      <c r="L7" s="67">
        <f ca="1">-C7*LN(F7)</f>
        <v>2.5946577273178297</v>
      </c>
      <c r="M7" s="63"/>
      <c r="N7" s="63"/>
    </row>
    <row r="8" spans="1:14" x14ac:dyDescent="0.4">
      <c r="B8" s="64">
        <v>1</v>
      </c>
      <c r="C8" s="64">
        <f t="shared" si="0"/>
        <v>0</v>
      </c>
      <c r="D8" s="64">
        <f t="shared" si="1"/>
        <v>1</v>
      </c>
      <c r="E8" s="7">
        <f t="shared" ca="1" si="2"/>
        <v>0.94588552689459038</v>
      </c>
      <c r="F8" s="7">
        <f ca="1">1-E8</f>
        <v>5.4114473105409622E-2</v>
      </c>
      <c r="G8" s="7"/>
      <c r="H8" s="66">
        <f ca="1">IF(E8&gt;= 0.5, TRUE, FALSE)*1</f>
        <v>1</v>
      </c>
      <c r="I8" s="63" t="str">
        <f ca="1">IF(AND(D8=1, H8=1), "TP",
 IF(AND(D8=0, H8=0), "TN",
  IF(AND(D8=0, H8=1), "FP",
   IF(AND(D8=1, H8=0), "FN", ""))))</f>
        <v>TP</v>
      </c>
      <c r="J8" s="67">
        <f ca="1">-SUMPRODUCT(B8:C8, LN(E8:F8))</f>
        <v>5.563372476326215E-2</v>
      </c>
      <c r="K8" s="67">
        <f ca="1">-D8*LN(E8)</f>
        <v>5.563372476326215E-2</v>
      </c>
      <c r="L8" s="67">
        <f ca="1">-C8*LN(F8)</f>
        <v>0</v>
      </c>
      <c r="M8" s="63"/>
      <c r="N8" s="63"/>
    </row>
    <row r="9" spans="1:14" x14ac:dyDescent="0.4">
      <c r="B9" s="64">
        <v>0</v>
      </c>
      <c r="C9" s="64">
        <f t="shared" si="0"/>
        <v>1</v>
      </c>
      <c r="D9" s="64">
        <f t="shared" si="1"/>
        <v>0</v>
      </c>
      <c r="E9" s="7">
        <f t="shared" ca="1" si="2"/>
        <v>0.79312906221382218</v>
      </c>
      <c r="F9" s="7">
        <f ca="1">1-E9</f>
        <v>0.20687093778617782</v>
      </c>
      <c r="G9" s="7"/>
      <c r="H9" s="66">
        <f ca="1">IF(E9&gt;= 0.5, TRUE, FALSE)*1</f>
        <v>1</v>
      </c>
      <c r="I9" s="63" t="str">
        <f ca="1">IF(AND(D9=1, H9=1), "TP",
 IF(AND(D9=0, H9=0), "TN",
  IF(AND(D9=0, H9=1), "FP",
   IF(AND(D9=1, H9=0), "FN", ""))))</f>
        <v>FP</v>
      </c>
      <c r="J9" s="67">
        <f ca="1">-SUMPRODUCT(B9:C9, LN(E9:F9))</f>
        <v>1.5756601691224987</v>
      </c>
      <c r="K9" s="67">
        <f ca="1">-D9*LN(E9)</f>
        <v>0</v>
      </c>
      <c r="L9" s="67">
        <f ca="1">-C9*LN(F9)</f>
        <v>1.5756601691224987</v>
      </c>
      <c r="M9" s="63"/>
      <c r="N9" s="63"/>
    </row>
    <row r="10" spans="1:14" x14ac:dyDescent="0.4">
      <c r="B10" s="64">
        <v>1</v>
      </c>
      <c r="C10" s="64">
        <f t="shared" si="0"/>
        <v>0</v>
      </c>
      <c r="D10" s="64">
        <f t="shared" si="1"/>
        <v>1</v>
      </c>
      <c r="E10" s="7">
        <f t="shared" ca="1" si="2"/>
        <v>0.62103674466760028</v>
      </c>
      <c r="F10" s="7">
        <f ca="1">1-E10</f>
        <v>0.37896325533239972</v>
      </c>
      <c r="G10" s="7"/>
      <c r="H10" s="66">
        <f ca="1">IF(E10&gt;= 0.5, TRUE, FALSE)*1</f>
        <v>1</v>
      </c>
      <c r="I10" s="63" t="str">
        <f ca="1">IF(AND(D10=1, H10=1), "TP",
 IF(AND(D10=0, H10=0), "TN",
  IF(AND(D10=0, H10=1), "FP",
   IF(AND(D10=1, H10=0), "FN", ""))))</f>
        <v>TP</v>
      </c>
      <c r="J10" s="67">
        <f ca="1">-SUMPRODUCT(B10:C10, LN(E10:F10))</f>
        <v>0.47636502864197666</v>
      </c>
      <c r="K10" s="67">
        <f ca="1">-D10*LN(E10)</f>
        <v>0.47636502864197666</v>
      </c>
      <c r="L10" s="67">
        <f ca="1">-C10*LN(F10)</f>
        <v>0</v>
      </c>
      <c r="M10" s="63"/>
      <c r="N10" s="63"/>
    </row>
    <row r="11" spans="1:14" x14ac:dyDescent="0.4">
      <c r="B11" s="64">
        <v>0</v>
      </c>
      <c r="C11" s="64">
        <f t="shared" si="0"/>
        <v>1</v>
      </c>
      <c r="D11" s="64">
        <f t="shared" ref="D11:D12" si="3">B11</f>
        <v>0</v>
      </c>
      <c r="E11" s="7">
        <f t="shared" ca="1" si="2"/>
        <v>0.27628751630996817</v>
      </c>
      <c r="F11" s="7">
        <f ca="1">1-E11</f>
        <v>0.72371248369003183</v>
      </c>
      <c r="G11" s="7"/>
      <c r="H11" s="66">
        <f ca="1">IF(E11&gt;= 0.5, TRUE, FALSE)*1</f>
        <v>0</v>
      </c>
      <c r="I11" s="63" t="str">
        <f ca="1">IF(AND(D11=1, H11=1), "TP",
 IF(AND(D11=0, H11=0), "TN",
  IF(AND(D11=0, H11=1), "FP",
   IF(AND(D11=1, H11=0), "FN", ""))))</f>
        <v>TN</v>
      </c>
      <c r="J11" s="67">
        <f ca="1">-SUMPRODUCT(B11:C11, LN(E11:F11))</f>
        <v>0.32336108744532877</v>
      </c>
      <c r="K11" s="67">
        <f ca="1">-D11*LN(E11)</f>
        <v>0</v>
      </c>
      <c r="L11" s="67">
        <f ca="1">-C11*LN(F11)</f>
        <v>0.32336108744532877</v>
      </c>
    </row>
    <row r="12" spans="1:14" x14ac:dyDescent="0.4">
      <c r="B12" s="64">
        <v>1</v>
      </c>
      <c r="C12" s="64">
        <f t="shared" si="0"/>
        <v>0</v>
      </c>
      <c r="D12" s="64">
        <f t="shared" si="3"/>
        <v>1</v>
      </c>
      <c r="E12" s="7">
        <f t="shared" ca="1" si="2"/>
        <v>0.13009764777186539</v>
      </c>
      <c r="F12" s="7">
        <f ca="1">1-E12</f>
        <v>0.86990235222813461</v>
      </c>
      <c r="G12" s="7"/>
      <c r="H12" s="66">
        <f ca="1">IF(E12&gt;= 0.5, TRUE, FALSE)*1</f>
        <v>0</v>
      </c>
      <c r="I12" s="63" t="str">
        <f ca="1">IF(AND(D12=1, H12=1), "TP",
 IF(AND(D12=0, H12=0), "TN",
  IF(AND(D12=0, H12=1), "FP",
   IF(AND(D12=1, H12=0), "FN", ""))))</f>
        <v>FN</v>
      </c>
      <c r="J12" s="67">
        <f ca="1">-SUMPRODUCT(B12:C12, LN(E12:F12))</f>
        <v>2.039469973781888</v>
      </c>
      <c r="K12" s="67">
        <f ca="1">-D12*LN(E12)</f>
        <v>2.039469973781888</v>
      </c>
      <c r="L12" s="67">
        <f ca="1">-C12*LN(F12)</f>
        <v>0</v>
      </c>
    </row>
    <row r="13" spans="1:14" ht="33.6" customHeight="1" x14ac:dyDescent="0.4">
      <c r="H13" s="61"/>
      <c r="I13" s="63" t="s">
        <v>38</v>
      </c>
      <c r="J13" s="67">
        <f ca="1">SUM(J3:J12)</f>
        <v>9.5973052622355031</v>
      </c>
    </row>
    <row r="14" spans="1:14" ht="17.399999999999999" x14ac:dyDescent="0.4">
      <c r="H14" s="61"/>
    </row>
    <row r="15" spans="1:14" ht="24" thickBot="1" x14ac:dyDescent="0.45">
      <c r="N15" s="61" t="s">
        <v>12</v>
      </c>
    </row>
    <row r="16" spans="1:14" ht="31.2" customHeight="1" thickBot="1" x14ac:dyDescent="0.45">
      <c r="A16" s="62"/>
      <c r="B16" s="62"/>
      <c r="C16" s="62"/>
      <c r="D16" s="62"/>
      <c r="E16" s="79" t="s">
        <v>26</v>
      </c>
      <c r="F16" s="80"/>
      <c r="G16" s="81"/>
      <c r="H16" s="77" t="s">
        <v>8</v>
      </c>
      <c r="I16" s="79" t="s">
        <v>18</v>
      </c>
      <c r="J16" s="80"/>
      <c r="K16" s="81"/>
      <c r="L16" s="90" t="s">
        <v>27</v>
      </c>
      <c r="M16" s="82" t="s">
        <v>33</v>
      </c>
    </row>
    <row r="17" spans="1:13" ht="31.2" customHeight="1" thickBot="1" x14ac:dyDescent="0.45">
      <c r="A17" s="83" t="s">
        <v>35</v>
      </c>
      <c r="B17" s="83" t="s">
        <v>36</v>
      </c>
      <c r="C17" s="76" t="s">
        <v>37</v>
      </c>
      <c r="D17" s="76" t="s">
        <v>34</v>
      </c>
      <c r="E17" s="88" t="s">
        <v>23</v>
      </c>
      <c r="F17" s="89" t="s">
        <v>24</v>
      </c>
      <c r="G17" s="89" t="s">
        <v>25</v>
      </c>
      <c r="H17" s="78"/>
      <c r="I17" s="84" t="s">
        <v>14</v>
      </c>
      <c r="J17" s="85" t="s">
        <v>15</v>
      </c>
      <c r="K17" s="86" t="s">
        <v>16</v>
      </c>
      <c r="L17" s="91"/>
      <c r="M17" s="87"/>
    </row>
    <row r="18" spans="1:13" x14ac:dyDescent="0.4">
      <c r="A18" s="64">
        <f t="shared" ref="A18:A27" ca="1" si="4">RANDBETWEEN(0,1)</f>
        <v>0</v>
      </c>
      <c r="B18" s="64">
        <f t="shared" ref="B18:B27" ca="1" si="5">IF(A18 &gt; 0, 0, RANDBETWEEN(0,1))</f>
        <v>0</v>
      </c>
      <c r="C18" s="64">
        <f t="shared" ref="C18" ca="1" si="6">IF(SUM(A18:B18) &gt;0, 0, RANDBETWEEN(0,1))</f>
        <v>1</v>
      </c>
      <c r="D18" s="64" t="str">
        <f ca="1">IF(A18=1, "Cat", IF(B18=1, "Dog", "Fish"))</f>
        <v>Fish</v>
      </c>
      <c r="E18" s="3">
        <f ca="1">RAND()</f>
        <v>0.57228920052664556</v>
      </c>
      <c r="F18" s="3">
        <f t="shared" ref="F18:G18" ca="1" si="7">RAND()</f>
        <v>0.1969476105207183</v>
      </c>
      <c r="G18" s="3">
        <f t="shared" ca="1" si="7"/>
        <v>0.72476879295514929</v>
      </c>
      <c r="H18" s="65" t="str">
        <f ca="1">_xlfn.IFS(E18=MAX(E18:G18), "Cat", F18=MAX(E18:G18), "Dog", TRUE, "Fish")</f>
        <v>Fish</v>
      </c>
      <c r="I18" s="3">
        <f ca="1">EXP(E18)/SUM(EXP($E18)+EXP($F18)+EXP($G18))</f>
        <v>0.35065901657106208</v>
      </c>
      <c r="J18" s="3">
        <f ca="1">EXP(F18)/SUM(EXP($E18)+EXP($F18)+EXP($G18))</f>
        <v>0.24092187203954663</v>
      </c>
      <c r="K18" s="3">
        <f ca="1">EXP(G18)/SUM(EXP($E18)+EXP($F18)+EXP($G18))</f>
        <v>0.40841911138939135</v>
      </c>
      <c r="L18" s="7">
        <f ca="1">SUM(I18:K18)</f>
        <v>1</v>
      </c>
      <c r="M18" s="7">
        <f ca="1">-SUMPRODUCT(A18:C18, LN(I18:K18))</f>
        <v>0.89546139802404756</v>
      </c>
    </row>
    <row r="19" spans="1:13" x14ac:dyDescent="0.4">
      <c r="A19" s="64">
        <f t="shared" ca="1" si="4"/>
        <v>1</v>
      </c>
      <c r="B19" s="64">
        <f t="shared" ca="1" si="5"/>
        <v>0</v>
      </c>
      <c r="C19" s="64">
        <f t="shared" ref="C19:C27" ca="1" si="8">IF(SUM(A19:B19) &gt;0, 0, RANDBETWEEN(0,1))</f>
        <v>0</v>
      </c>
      <c r="D19" s="64" t="str">
        <f t="shared" ref="D19:D27" ca="1" si="9">IF(A19=1, "Cat", IF(B19=1, "Dog", "Fish"))</f>
        <v>Cat</v>
      </c>
      <c r="E19" s="3">
        <f t="shared" ref="E19:G27" ca="1" si="10">RAND()</f>
        <v>0.99226561779035127</v>
      </c>
      <c r="F19" s="3">
        <f t="shared" ca="1" si="10"/>
        <v>0.43527502078772784</v>
      </c>
      <c r="G19" s="3">
        <f t="shared" ca="1" si="10"/>
        <v>0.89456754082227841</v>
      </c>
      <c r="H19" s="65" t="str">
        <f t="shared" ref="H19:H27" ca="1" si="11">_xlfn.IFS(E19=MAX(E19:G19), "Cat", F19=MAX(E19:G19), "Dog", TRUE, "Fish")</f>
        <v>Cat</v>
      </c>
      <c r="I19" s="3">
        <f ca="1">EXP(E19)/SUM(EXP($E19)+EXP($F19)+EXP($G19))</f>
        <v>0.40324965434974552</v>
      </c>
      <c r="J19" s="3">
        <f ca="1">EXP(F19)/SUM(EXP($E19)+EXP($F19)+EXP($G19))</f>
        <v>0.23103408710051937</v>
      </c>
      <c r="K19" s="3">
        <f ca="1">EXP(G19)/SUM(EXP($E19)+EXP($F19)+EXP($G19))</f>
        <v>0.36571625854973511</v>
      </c>
      <c r="L19" s="7">
        <f t="shared" ref="L19:L27" ca="1" si="12">SUM(I19:K19)</f>
        <v>1</v>
      </c>
      <c r="M19" s="7">
        <f t="shared" ref="M19:M27" ca="1" si="13">-SUMPRODUCT(A19:C19, LN(I19:K19))</f>
        <v>0.90819941913838764</v>
      </c>
    </row>
    <row r="20" spans="1:13" x14ac:dyDescent="0.4">
      <c r="A20" s="64">
        <f t="shared" ca="1" si="4"/>
        <v>0</v>
      </c>
      <c r="B20" s="64">
        <f t="shared" ca="1" si="5"/>
        <v>1</v>
      </c>
      <c r="C20" s="64">
        <f t="shared" ca="1" si="8"/>
        <v>0</v>
      </c>
      <c r="D20" s="64" t="str">
        <f t="shared" ca="1" si="9"/>
        <v>Dog</v>
      </c>
      <c r="E20" s="3">
        <f t="shared" ca="1" si="10"/>
        <v>0.20981754538677522</v>
      </c>
      <c r="F20" s="3">
        <f t="shared" ca="1" si="10"/>
        <v>0.79484812867656862</v>
      </c>
      <c r="G20" s="3">
        <f t="shared" ca="1" si="10"/>
        <v>0.53181787211009612</v>
      </c>
      <c r="H20" s="65" t="str">
        <f t="shared" ca="1" si="11"/>
        <v>Dog</v>
      </c>
      <c r="I20" s="3">
        <f ca="1">EXP(E20)/SUM(EXP($E20)+EXP($F20)+EXP($G20))</f>
        <v>0.23952491038789647</v>
      </c>
      <c r="J20" s="3">
        <f ca="1">EXP(F20)/SUM(EXP($E20)+EXP($F20)+EXP($G20))</f>
        <v>0.42995820431776471</v>
      </c>
      <c r="K20" s="3">
        <f ca="1">EXP(G20)/SUM(EXP($E20)+EXP($F20)+EXP($G20))</f>
        <v>0.33051688529433881</v>
      </c>
      <c r="L20" s="7">
        <f t="shared" ca="1" si="12"/>
        <v>1</v>
      </c>
      <c r="M20" s="7">
        <f t="shared" ca="1" si="13"/>
        <v>0.84406727427969552</v>
      </c>
    </row>
    <row r="21" spans="1:13" x14ac:dyDescent="0.4">
      <c r="A21" s="64">
        <f t="shared" ca="1" si="4"/>
        <v>1</v>
      </c>
      <c r="B21" s="64">
        <f t="shared" ca="1" si="5"/>
        <v>0</v>
      </c>
      <c r="C21" s="64">
        <f t="shared" ca="1" si="8"/>
        <v>0</v>
      </c>
      <c r="D21" s="64" t="str">
        <f t="shared" ca="1" si="9"/>
        <v>Cat</v>
      </c>
      <c r="E21" s="3">
        <f t="shared" ca="1" si="10"/>
        <v>0.56588822826886986</v>
      </c>
      <c r="F21" s="3">
        <f t="shared" ca="1" si="10"/>
        <v>0.90290126404552751</v>
      </c>
      <c r="G21" s="3">
        <f t="shared" ca="1" si="10"/>
        <v>0.73960427261820116</v>
      </c>
      <c r="H21" s="65" t="str">
        <f t="shared" ca="1" si="11"/>
        <v>Dog</v>
      </c>
      <c r="I21" s="3">
        <f ca="1">EXP(E21)/SUM(EXP($E21)+EXP($F21)+EXP($G21))</f>
        <v>0.27851468009044511</v>
      </c>
      <c r="J21" s="3">
        <f ca="1">EXP(F21)/SUM(EXP($E21)+EXP($F21)+EXP($G21))</f>
        <v>0.39013147786099256</v>
      </c>
      <c r="K21" s="3">
        <f ca="1">EXP(G21)/SUM(EXP($E21)+EXP($F21)+EXP($G21))</f>
        <v>0.33135384204856239</v>
      </c>
      <c r="L21" s="7">
        <f t="shared" ca="1" si="12"/>
        <v>1</v>
      </c>
      <c r="M21" s="7">
        <f t="shared" ca="1" si="13"/>
        <v>1.2782845097277047</v>
      </c>
    </row>
    <row r="22" spans="1:13" x14ac:dyDescent="0.4">
      <c r="A22" s="64">
        <f t="shared" ca="1" si="4"/>
        <v>0</v>
      </c>
      <c r="B22" s="64">
        <f t="shared" ca="1" si="5"/>
        <v>1</v>
      </c>
      <c r="C22" s="64">
        <f t="shared" ca="1" si="8"/>
        <v>0</v>
      </c>
      <c r="D22" s="64" t="str">
        <f t="shared" ca="1" si="9"/>
        <v>Dog</v>
      </c>
      <c r="E22" s="3">
        <f t="shared" ca="1" si="10"/>
        <v>0.11197231619719028</v>
      </c>
      <c r="F22" s="3">
        <f t="shared" ca="1" si="10"/>
        <v>9.5137711982993478E-2</v>
      </c>
      <c r="G22" s="3">
        <f t="shared" ca="1" si="10"/>
        <v>0.21058797703470644</v>
      </c>
      <c r="H22" s="65" t="str">
        <f t="shared" ca="1" si="11"/>
        <v>Fish</v>
      </c>
      <c r="I22" s="3">
        <f ca="1">EXP(E22)/SUM(EXP($E22)+EXP($F22)+EXP($G22))</f>
        <v>0.32394451939882196</v>
      </c>
      <c r="J22" s="3">
        <f ca="1">EXP(F22)/SUM(EXP($E22)+EXP($F22)+EXP($G22))</f>
        <v>0.31853668868830826</v>
      </c>
      <c r="K22" s="3">
        <f ca="1">EXP(G22)/SUM(EXP($E22)+EXP($F22)+EXP($G22))</f>
        <v>0.35751879191286984</v>
      </c>
      <c r="L22" s="7">
        <f t="shared" ca="1" si="12"/>
        <v>1</v>
      </c>
      <c r="M22" s="7">
        <f t="shared" ca="1" si="13"/>
        <v>1.1440176184900235</v>
      </c>
    </row>
    <row r="23" spans="1:13" x14ac:dyDescent="0.4">
      <c r="A23" s="64">
        <f t="shared" ca="1" si="4"/>
        <v>1</v>
      </c>
      <c r="B23" s="64">
        <f t="shared" ca="1" si="5"/>
        <v>0</v>
      </c>
      <c r="C23" s="64">
        <f t="shared" ca="1" si="8"/>
        <v>0</v>
      </c>
      <c r="D23" s="64" t="str">
        <f t="shared" ca="1" si="9"/>
        <v>Cat</v>
      </c>
      <c r="E23" s="3">
        <f t="shared" ca="1" si="10"/>
        <v>0.20403883607759921</v>
      </c>
      <c r="F23" s="3">
        <f t="shared" ca="1" si="10"/>
        <v>0.85599564831439134</v>
      </c>
      <c r="G23" s="3">
        <f t="shared" ca="1" si="10"/>
        <v>0.24894168997210508</v>
      </c>
      <c r="H23" s="65" t="str">
        <f t="shared" ca="1" si="11"/>
        <v>Dog</v>
      </c>
      <c r="I23" s="3">
        <f ca="1">EXP(E23)/SUM(EXP($E23)+EXP($F23)+EXP($G23))</f>
        <v>0.25219287378948674</v>
      </c>
      <c r="J23" s="3">
        <f ca="1">EXP(F23)/SUM(EXP($E23)+EXP($F23)+EXP($G23))</f>
        <v>0.48403198012914672</v>
      </c>
      <c r="K23" s="3">
        <f ca="1">EXP(G23)/SUM(EXP($E23)+EXP($F23)+EXP($G23))</f>
        <v>0.26377514608136648</v>
      </c>
      <c r="L23" s="7">
        <f t="shared" ca="1" si="12"/>
        <v>1</v>
      </c>
      <c r="M23" s="7">
        <f t="shared" ca="1" si="13"/>
        <v>1.3775611120381337</v>
      </c>
    </row>
    <row r="24" spans="1:13" x14ac:dyDescent="0.4">
      <c r="A24" s="64">
        <f t="shared" ca="1" si="4"/>
        <v>1</v>
      </c>
      <c r="B24" s="64">
        <f t="shared" ca="1" si="5"/>
        <v>0</v>
      </c>
      <c r="C24" s="64">
        <f t="shared" ca="1" si="8"/>
        <v>0</v>
      </c>
      <c r="D24" s="64" t="str">
        <f t="shared" ca="1" si="9"/>
        <v>Cat</v>
      </c>
      <c r="E24" s="3">
        <f t="shared" ca="1" si="10"/>
        <v>0.52362872810635142</v>
      </c>
      <c r="F24" s="3">
        <f t="shared" ca="1" si="10"/>
        <v>2.3259286730384354E-2</v>
      </c>
      <c r="G24" s="3">
        <f t="shared" ca="1" si="10"/>
        <v>0.38957156459340048</v>
      </c>
      <c r="H24" s="65" t="str">
        <f t="shared" ca="1" si="11"/>
        <v>Cat</v>
      </c>
      <c r="I24" s="3">
        <f ca="1">EXP(E24)/SUM(EXP($E24)+EXP($F24)+EXP($G24))</f>
        <v>0.40308818841071975</v>
      </c>
      <c r="J24" s="3">
        <f ca="1">EXP(F24)/SUM(EXP($E24)+EXP($F24)+EXP($G24))</f>
        <v>0.24439503851939565</v>
      </c>
      <c r="K24" s="3">
        <f ca="1">EXP(G24)/SUM(EXP($E24)+EXP($F24)+EXP($G24))</f>
        <v>0.35251677306988477</v>
      </c>
      <c r="L24" s="7">
        <f t="shared" ca="1" si="12"/>
        <v>1.0000000000000002</v>
      </c>
      <c r="M24" s="7">
        <f t="shared" ca="1" si="13"/>
        <v>0.90859991117192829</v>
      </c>
    </row>
    <row r="25" spans="1:13" x14ac:dyDescent="0.4">
      <c r="A25" s="64">
        <f t="shared" ca="1" si="4"/>
        <v>1</v>
      </c>
      <c r="B25" s="64">
        <f t="shared" ca="1" si="5"/>
        <v>0</v>
      </c>
      <c r="C25" s="64">
        <f t="shared" ca="1" si="8"/>
        <v>0</v>
      </c>
      <c r="D25" s="64" t="str">
        <f t="shared" ca="1" si="9"/>
        <v>Cat</v>
      </c>
      <c r="E25" s="3">
        <f t="shared" ca="1" si="10"/>
        <v>8.7197000105152744E-2</v>
      </c>
      <c r="F25" s="3">
        <f t="shared" ca="1" si="10"/>
        <v>0.11828478202524495</v>
      </c>
      <c r="G25" s="3">
        <f t="shared" ca="1" si="10"/>
        <v>0.83417532553672513</v>
      </c>
      <c r="H25" s="65" t="str">
        <f t="shared" ca="1" si="11"/>
        <v>Fish</v>
      </c>
      <c r="I25" s="3">
        <f ca="1">EXP(E25)/SUM(EXP($E25)+EXP($F25)+EXP($G25))</f>
        <v>0.24141825460188757</v>
      </c>
      <c r="J25" s="3">
        <f ca="1">EXP(F25)/SUM(EXP($E25)+EXP($F25)+EXP($G25))</f>
        <v>0.2490412903585964</v>
      </c>
      <c r="K25" s="3">
        <f ca="1">EXP(G25)/SUM(EXP($E25)+EXP($F25)+EXP($G25))</f>
        <v>0.50954045503951595</v>
      </c>
      <c r="L25" s="7">
        <f t="shared" ca="1" si="12"/>
        <v>0.99999999999999989</v>
      </c>
      <c r="M25" s="7">
        <f t="shared" ca="1" si="13"/>
        <v>1.4212243534516042</v>
      </c>
    </row>
    <row r="26" spans="1:13" x14ac:dyDescent="0.4">
      <c r="A26" s="64">
        <f t="shared" ca="1" si="4"/>
        <v>1</v>
      </c>
      <c r="B26" s="64">
        <f t="shared" ca="1" si="5"/>
        <v>0</v>
      </c>
      <c r="C26" s="64">
        <f t="shared" ca="1" si="8"/>
        <v>0</v>
      </c>
      <c r="D26" s="64" t="str">
        <f t="shared" ca="1" si="9"/>
        <v>Cat</v>
      </c>
      <c r="E26" s="3">
        <f t="shared" ca="1" si="10"/>
        <v>0.68878440807752739</v>
      </c>
      <c r="F26" s="3">
        <f t="shared" ca="1" si="10"/>
        <v>0.14706962355041753</v>
      </c>
      <c r="G26" s="3">
        <f t="shared" ca="1" si="10"/>
        <v>0.26791923493298564</v>
      </c>
      <c r="H26" s="65" t="str">
        <f t="shared" ca="1" si="11"/>
        <v>Cat</v>
      </c>
      <c r="I26" s="3">
        <f ca="1">EXP(E26)/SUM(EXP($E26)+EXP($F26)+EXP($G26))</f>
        <v>0.44678192260105648</v>
      </c>
      <c r="J26" s="3">
        <f ca="1">EXP(F26)/SUM(EXP($E26)+EXP($F26)+EXP($G26))</f>
        <v>0.2599153034900985</v>
      </c>
      <c r="K26" s="3">
        <f ca="1">EXP(G26)/SUM(EXP($E26)+EXP($F26)+EXP($G26))</f>
        <v>0.29330277390884496</v>
      </c>
      <c r="L26" s="7">
        <f t="shared" ca="1" si="12"/>
        <v>1</v>
      </c>
      <c r="M26" s="7">
        <f t="shared" ca="1" si="13"/>
        <v>0.80568467231676144</v>
      </c>
    </row>
    <row r="27" spans="1:13" x14ac:dyDescent="0.4">
      <c r="A27" s="64">
        <f t="shared" ca="1" si="4"/>
        <v>1</v>
      </c>
      <c r="B27" s="64">
        <f t="shared" ca="1" si="5"/>
        <v>0</v>
      </c>
      <c r="C27" s="64">
        <f t="shared" ca="1" si="8"/>
        <v>0</v>
      </c>
      <c r="D27" s="64" t="str">
        <f t="shared" ca="1" si="9"/>
        <v>Cat</v>
      </c>
      <c r="E27" s="3">
        <f t="shared" ca="1" si="10"/>
        <v>0.48063928287652324</v>
      </c>
      <c r="F27" s="3">
        <f t="shared" ca="1" si="10"/>
        <v>0.35156615831652582</v>
      </c>
      <c r="G27" s="3">
        <f t="shared" ca="1" si="10"/>
        <v>0.52827373138022127</v>
      </c>
      <c r="H27" s="65" t="str">
        <f t="shared" ca="1" si="11"/>
        <v>Fish</v>
      </c>
      <c r="I27" s="3">
        <f ca="1">EXP(E27)/SUM(EXP($E27)+EXP($F27)+EXP($G27))</f>
        <v>0.34156541356836173</v>
      </c>
      <c r="J27" s="3">
        <f ca="1">EXP(F27)/SUM(EXP($E27)+EXP($F27)+EXP($G27))</f>
        <v>0.30020515288503813</v>
      </c>
      <c r="K27" s="3">
        <f ca="1">EXP(G27)/SUM(EXP($E27)+EXP($F27)+EXP($G27))</f>
        <v>0.35822943354660003</v>
      </c>
      <c r="L27" s="7">
        <f t="shared" ca="1" si="12"/>
        <v>1</v>
      </c>
      <c r="M27" s="7">
        <f t="shared" ca="1" si="13"/>
        <v>1.0742160705298587</v>
      </c>
    </row>
    <row r="28" spans="1:13" ht="33.6" customHeight="1" x14ac:dyDescent="0.4">
      <c r="E28" s="74"/>
      <c r="F28" s="74"/>
      <c r="G28" s="74"/>
      <c r="H28" s="62"/>
      <c r="I28" s="74"/>
      <c r="J28" s="74"/>
      <c r="K28" s="74"/>
      <c r="L28" s="63" t="s">
        <v>38</v>
      </c>
      <c r="M28" s="67">
        <f ca="1">SUM(M18:M27)</f>
        <v>10.657316339168146</v>
      </c>
    </row>
  </sheetData>
  <mergeCells count="7">
    <mergeCell ref="M16:M17"/>
    <mergeCell ref="H16:H17"/>
    <mergeCell ref="L16:L17"/>
    <mergeCell ref="K1:L1"/>
    <mergeCell ref="J1:J2"/>
    <mergeCell ref="E16:G16"/>
    <mergeCell ref="I16:K16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5B93-1571-4EE0-ACC9-EC2D13F2737E}">
  <dimension ref="A1:J18"/>
  <sheetViews>
    <sheetView showGridLines="0" zoomScale="72" workbookViewId="0">
      <selection activeCell="D4" sqref="D4"/>
    </sheetView>
  </sheetViews>
  <sheetFormatPr defaultColWidth="15.19921875" defaultRowHeight="23.4" x14ac:dyDescent="0.4"/>
  <cols>
    <col min="1" max="1" width="25.19921875" style="2" customWidth="1"/>
    <col min="2" max="2" width="20.3984375" style="2" bestFit="1" customWidth="1"/>
    <col min="3" max="3" width="20.3984375" style="2" customWidth="1"/>
    <col min="4" max="4" width="18.59765625" style="2" customWidth="1"/>
    <col min="5" max="5" width="23.8984375" style="2" bestFit="1" customWidth="1"/>
    <col min="6" max="6" width="7" style="2" customWidth="1"/>
    <col min="7" max="7" width="21.5" style="2" bestFit="1" customWidth="1"/>
    <col min="8" max="8" width="21.5" style="2" customWidth="1"/>
    <col min="9" max="9" width="18" style="2" bestFit="1" customWidth="1"/>
    <col min="10" max="10" width="28.3984375" style="2" bestFit="1" customWidth="1"/>
    <col min="11" max="16384" width="15.19921875" style="2"/>
  </cols>
  <sheetData>
    <row r="1" spans="1:10" ht="78" customHeight="1" thickBot="1" x14ac:dyDescent="0.45">
      <c r="A1" s="1" t="s">
        <v>2</v>
      </c>
    </row>
    <row r="2" spans="1:10" ht="29.4" customHeight="1" thickBot="1" x14ac:dyDescent="0.45">
      <c r="B2" s="52" t="s">
        <v>4</v>
      </c>
      <c r="C2" s="53"/>
      <c r="D2" s="53"/>
      <c r="E2" s="54"/>
      <c r="F2" s="3"/>
      <c r="G2" s="52" t="s">
        <v>5</v>
      </c>
      <c r="H2" s="53"/>
      <c r="I2" s="53"/>
      <c r="J2" s="54"/>
    </row>
    <row r="3" spans="1:10" ht="24" thickBot="1" x14ac:dyDescent="0.45">
      <c r="A3" s="4" t="s">
        <v>9</v>
      </c>
      <c r="B3" s="3" t="s">
        <v>3</v>
      </c>
      <c r="C3" s="3" t="s">
        <v>8</v>
      </c>
      <c r="D3" s="3" t="s">
        <v>0</v>
      </c>
      <c r="E3" s="3" t="s">
        <v>1</v>
      </c>
      <c r="F3" s="3"/>
      <c r="G3" s="3" t="s">
        <v>3</v>
      </c>
      <c r="H3" s="3" t="s">
        <v>8</v>
      </c>
      <c r="I3" s="3" t="s">
        <v>0</v>
      </c>
      <c r="J3" s="3" t="s">
        <v>1</v>
      </c>
    </row>
    <row r="4" spans="1:10" ht="25.95" customHeight="1" thickTop="1" x14ac:dyDescent="0.4">
      <c r="A4" s="5">
        <f ca="1">RANDBETWEEN(0,1)</f>
        <v>0</v>
      </c>
      <c r="B4" s="3">
        <f ca="1">RAND()</f>
        <v>0.15261016612315559</v>
      </c>
      <c r="C4" s="6">
        <f ca="1">IF(B4&gt;= 0.5, TRUE, FALSE)*1</f>
        <v>0</v>
      </c>
      <c r="D4" s="7">
        <f ca="1">-A4*LN(B4)</f>
        <v>0</v>
      </c>
      <c r="E4" s="7">
        <f ca="1">-(1-A4)*LN(1-B4)</f>
        <v>0.16559443770274968</v>
      </c>
      <c r="F4" s="3"/>
      <c r="G4" s="3">
        <f ca="1">RAND()</f>
        <v>6.4790673534059762E-3</v>
      </c>
      <c r="H4" s="6">
        <f ca="1">IF(G4&gt;= 0.5, TRUE, FALSE)*1</f>
        <v>0</v>
      </c>
      <c r="I4" s="7">
        <f ca="1">-A4*LN(G4)</f>
        <v>0</v>
      </c>
      <c r="J4" s="7">
        <f ca="1">-(1-A4)*LN(1-G4)</f>
        <v>6.5001476132389539E-3</v>
      </c>
    </row>
    <row r="5" spans="1:10" ht="25.95" customHeight="1" x14ac:dyDescent="0.4">
      <c r="A5" s="6">
        <f t="shared" ref="A5:A13" ca="1" si="0">RANDBETWEEN(0,1)</f>
        <v>0</v>
      </c>
      <c r="B5" s="3">
        <f t="shared" ref="B5:B13" ca="1" si="1">RAND()</f>
        <v>0.18011517426794244</v>
      </c>
      <c r="C5" s="6">
        <f t="shared" ref="C5:C13" ca="1" si="2">IF(B5&gt;= 0.5, TRUE, FALSE)*1</f>
        <v>0</v>
      </c>
      <c r="D5" s="7">
        <f t="shared" ref="D5:D13" ca="1" si="3">-A5*LN(B5)</f>
        <v>0</v>
      </c>
      <c r="E5" s="7">
        <f t="shared" ref="E5:E13" ca="1" si="4">-(1-A5)*LN(1-B5)</f>
        <v>0.19859140501308561</v>
      </c>
      <c r="F5" s="3"/>
      <c r="G5" s="3">
        <f t="shared" ref="G5:G13" ca="1" si="5">RAND()</f>
        <v>0.11325184110207576</v>
      </c>
      <c r="H5" s="6">
        <f t="shared" ref="H5:H13" ca="1" si="6">IF(G5&gt;= 0.5, TRUE, FALSE)*1</f>
        <v>0</v>
      </c>
      <c r="I5" s="7">
        <f t="shared" ref="I5:I13" ca="1" si="7">-A5*LN(G5)</f>
        <v>0</v>
      </c>
      <c r="J5" s="7">
        <f t="shared" ref="J5:J13" ca="1" si="8">-(1-A5)*LN(1-G5)</f>
        <v>0.12019426156633879</v>
      </c>
    </row>
    <row r="6" spans="1:10" ht="25.95" customHeight="1" x14ac:dyDescent="0.4">
      <c r="A6" s="6">
        <f t="shared" ca="1" si="0"/>
        <v>1</v>
      </c>
      <c r="B6" s="3">
        <f t="shared" ca="1" si="1"/>
        <v>9.2668778870506729E-2</v>
      </c>
      <c r="C6" s="6">
        <f t="shared" ca="1" si="2"/>
        <v>0</v>
      </c>
      <c r="D6" s="7">
        <f t="shared" ca="1" si="3"/>
        <v>2.3787236606527595</v>
      </c>
      <c r="E6" s="7">
        <f t="shared" ca="1" si="4"/>
        <v>0</v>
      </c>
      <c r="F6" s="3"/>
      <c r="G6" s="3">
        <f t="shared" ca="1" si="5"/>
        <v>0.65809299010565747</v>
      </c>
      <c r="H6" s="6">
        <f t="shared" ca="1" si="6"/>
        <v>1</v>
      </c>
      <c r="I6" s="7">
        <f t="shared" ca="1" si="7"/>
        <v>0.41840903529285878</v>
      </c>
      <c r="J6" s="7">
        <f t="shared" ca="1" si="8"/>
        <v>0</v>
      </c>
    </row>
    <row r="7" spans="1:10" ht="25.95" customHeight="1" x14ac:dyDescent="0.4">
      <c r="A7" s="6">
        <f t="shared" ca="1" si="0"/>
        <v>0</v>
      </c>
      <c r="B7" s="3">
        <f t="shared" ca="1" si="1"/>
        <v>0.45466715232140176</v>
      </c>
      <c r="C7" s="6">
        <f t="shared" ca="1" si="2"/>
        <v>0</v>
      </c>
      <c r="D7" s="7">
        <f t="shared" ca="1" si="3"/>
        <v>0</v>
      </c>
      <c r="E7" s="7">
        <f t="shared" ca="1" si="4"/>
        <v>0.60635894105286858</v>
      </c>
      <c r="F7" s="3"/>
      <c r="G7" s="3">
        <f t="shared" ca="1" si="5"/>
        <v>0.85379678171345486</v>
      </c>
      <c r="H7" s="6">
        <f t="shared" ca="1" si="6"/>
        <v>1</v>
      </c>
      <c r="I7" s="7">
        <f t="shared" ca="1" si="7"/>
        <v>0</v>
      </c>
      <c r="J7" s="7">
        <f t="shared" ca="1" si="8"/>
        <v>1.9227577190048737</v>
      </c>
    </row>
    <row r="8" spans="1:10" ht="25.95" customHeight="1" x14ac:dyDescent="0.4">
      <c r="A8" s="6">
        <f t="shared" ca="1" si="0"/>
        <v>0</v>
      </c>
      <c r="B8" s="3">
        <f t="shared" ca="1" si="1"/>
        <v>0.12834241582227301</v>
      </c>
      <c r="C8" s="6">
        <f t="shared" ca="1" si="2"/>
        <v>0</v>
      </c>
      <c r="D8" s="7">
        <f t="shared" ca="1" si="3"/>
        <v>0</v>
      </c>
      <c r="E8" s="7">
        <f t="shared" ca="1" si="4"/>
        <v>0.13735861088689269</v>
      </c>
      <c r="F8" s="3"/>
      <c r="G8" s="3">
        <f t="shared" ca="1" si="5"/>
        <v>0.7081218027602677</v>
      </c>
      <c r="H8" s="6">
        <f t="shared" ca="1" si="6"/>
        <v>1</v>
      </c>
      <c r="I8" s="7">
        <f t="shared" ca="1" si="7"/>
        <v>0</v>
      </c>
      <c r="J8" s="7">
        <f t="shared" ca="1" si="8"/>
        <v>1.2314186964785609</v>
      </c>
    </row>
    <row r="9" spans="1:10" ht="25.95" customHeight="1" x14ac:dyDescent="0.4">
      <c r="A9" s="6">
        <f t="shared" ca="1" si="0"/>
        <v>0</v>
      </c>
      <c r="B9" s="3">
        <f t="shared" ca="1" si="1"/>
        <v>0.12186365371973795</v>
      </c>
      <c r="C9" s="6">
        <f t="shared" ca="1" si="2"/>
        <v>0</v>
      </c>
      <c r="D9" s="7">
        <f t="shared" ca="1" si="3"/>
        <v>0</v>
      </c>
      <c r="E9" s="7">
        <f t="shared" ca="1" si="4"/>
        <v>0.12995340551259887</v>
      </c>
      <c r="F9" s="3"/>
      <c r="G9" s="3">
        <f t="shared" ca="1" si="5"/>
        <v>0.44184850562967526</v>
      </c>
      <c r="H9" s="6">
        <f t="shared" ca="1" si="6"/>
        <v>0</v>
      </c>
      <c r="I9" s="7">
        <f t="shared" ca="1" si="7"/>
        <v>0</v>
      </c>
      <c r="J9" s="7">
        <f t="shared" ca="1" si="8"/>
        <v>0.58312485816168202</v>
      </c>
    </row>
    <row r="10" spans="1:10" ht="25.95" customHeight="1" x14ac:dyDescent="0.4">
      <c r="A10" s="6">
        <f t="shared" ca="1" si="0"/>
        <v>0</v>
      </c>
      <c r="B10" s="3">
        <f t="shared" ca="1" si="1"/>
        <v>0.95870706076316514</v>
      </c>
      <c r="C10" s="6">
        <f t="shared" ca="1" si="2"/>
        <v>1</v>
      </c>
      <c r="D10" s="7">
        <f t="shared" ca="1" si="3"/>
        <v>0</v>
      </c>
      <c r="E10" s="7">
        <f t="shared" ca="1" si="4"/>
        <v>3.1870637564194557</v>
      </c>
      <c r="F10" s="3"/>
      <c r="G10" s="3">
        <f t="shared" ca="1" si="5"/>
        <v>0.64480933295398013</v>
      </c>
      <c r="H10" s="6">
        <f t="shared" ca="1" si="6"/>
        <v>1</v>
      </c>
      <c r="I10" s="7">
        <f t="shared" ca="1" si="7"/>
        <v>0</v>
      </c>
      <c r="J10" s="7">
        <f t="shared" ca="1" si="8"/>
        <v>1.0351005434175988</v>
      </c>
    </row>
    <row r="11" spans="1:10" ht="25.95" customHeight="1" x14ac:dyDescent="0.4">
      <c r="A11" s="6">
        <f t="shared" ca="1" si="0"/>
        <v>1</v>
      </c>
      <c r="B11" s="3">
        <f t="shared" ca="1" si="1"/>
        <v>0.71614548913104337</v>
      </c>
      <c r="C11" s="6">
        <f t="shared" ca="1" si="2"/>
        <v>1</v>
      </c>
      <c r="D11" s="7">
        <f t="shared" ca="1" si="3"/>
        <v>0.33387193555283234</v>
      </c>
      <c r="E11" s="7">
        <f t="shared" ca="1" si="4"/>
        <v>0</v>
      </c>
      <c r="F11" s="3"/>
      <c r="G11" s="3">
        <f t="shared" ca="1" si="5"/>
        <v>0.71700652324899339</v>
      </c>
      <c r="H11" s="6">
        <f t="shared" ca="1" si="6"/>
        <v>1</v>
      </c>
      <c r="I11" s="7">
        <f t="shared" ca="1" si="7"/>
        <v>0.33267034044762217</v>
      </c>
      <c r="J11" s="7">
        <f t="shared" ca="1" si="8"/>
        <v>0</v>
      </c>
    </row>
    <row r="12" spans="1:10" ht="25.95" customHeight="1" x14ac:dyDescent="0.4">
      <c r="A12" s="6">
        <f t="shared" ca="1" si="0"/>
        <v>1</v>
      </c>
      <c r="B12" s="3">
        <f t="shared" ca="1" si="1"/>
        <v>0.21861475799547447</v>
      </c>
      <c r="C12" s="6">
        <f t="shared" ca="1" si="2"/>
        <v>0</v>
      </c>
      <c r="D12" s="7">
        <f t="shared" ca="1" si="3"/>
        <v>1.5204441941027806</v>
      </c>
      <c r="E12" s="7">
        <f t="shared" ca="1" si="4"/>
        <v>0</v>
      </c>
      <c r="F12" s="3"/>
      <c r="G12" s="3">
        <f t="shared" ca="1" si="5"/>
        <v>0.47159368835794946</v>
      </c>
      <c r="H12" s="6">
        <f t="shared" ca="1" si="6"/>
        <v>0</v>
      </c>
      <c r="I12" s="7">
        <f t="shared" ca="1" si="7"/>
        <v>0.75163749387338841</v>
      </c>
      <c r="J12" s="7">
        <f t="shared" ca="1" si="8"/>
        <v>0</v>
      </c>
    </row>
    <row r="13" spans="1:10" ht="25.95" customHeight="1" thickBot="1" x14ac:dyDescent="0.45">
      <c r="A13" s="8">
        <f t="shared" ca="1" si="0"/>
        <v>1</v>
      </c>
      <c r="B13" s="3">
        <f t="shared" ca="1" si="1"/>
        <v>0.22848671409517129</v>
      </c>
      <c r="C13" s="6">
        <f t="shared" ca="1" si="2"/>
        <v>0</v>
      </c>
      <c r="D13" s="7">
        <f t="shared" ca="1" si="3"/>
        <v>1.4762772143419325</v>
      </c>
      <c r="E13" s="7">
        <f t="shared" ca="1" si="4"/>
        <v>0</v>
      </c>
      <c r="F13" s="3"/>
      <c r="G13" s="3">
        <f t="shared" ca="1" si="5"/>
        <v>0.75444107790812409</v>
      </c>
      <c r="H13" s="6">
        <f t="shared" ca="1" si="6"/>
        <v>1</v>
      </c>
      <c r="I13" s="7">
        <f t="shared" ca="1" si="7"/>
        <v>0.28177809804757104</v>
      </c>
      <c r="J13" s="7">
        <f t="shared" ca="1" si="8"/>
        <v>0</v>
      </c>
    </row>
    <row r="14" spans="1:10" ht="25.95" customHeight="1" x14ac:dyDescent="0.4">
      <c r="B14" s="9" t="s">
        <v>6</v>
      </c>
      <c r="C14" s="10"/>
      <c r="D14" s="10">
        <f ca="1">SUM(D4:D13)</f>
        <v>5.7093170046503046</v>
      </c>
      <c r="E14" s="11">
        <f ca="1">SUM(E4:E13)</f>
        <v>4.4249205565876508</v>
      </c>
      <c r="I14" s="12">
        <f ca="1">SUM(I4:I13)</f>
        <v>1.7844949676614403</v>
      </c>
      <c r="J14" s="11">
        <f ca="1">SUM(J4:J13)</f>
        <v>4.8990962262422935</v>
      </c>
    </row>
    <row r="15" spans="1:10" ht="25.95" customHeight="1" thickBot="1" x14ac:dyDescent="0.45">
      <c r="B15" s="13" t="s">
        <v>7</v>
      </c>
      <c r="C15" s="14"/>
      <c r="D15" s="14"/>
      <c r="E15" s="15">
        <f ca="1">SUM(D14:E14)</f>
        <v>10.134237561237956</v>
      </c>
      <c r="I15" s="16"/>
      <c r="J15" s="15">
        <f ca="1">SUM(I14:J14)</f>
        <v>6.6835911939037338</v>
      </c>
    </row>
    <row r="17" spans="2:7" ht="34.950000000000003" customHeight="1" x14ac:dyDescent="0.4">
      <c r="E17" s="17" t="s">
        <v>10</v>
      </c>
      <c r="F17" s="17" t="str">
        <f ca="1">IF(E15&lt;= J15, "A", "B")</f>
        <v>B</v>
      </c>
      <c r="G17" s="18" t="s">
        <v>11</v>
      </c>
    </row>
    <row r="18" spans="2:7" x14ac:dyDescent="0.4">
      <c r="B18" s="2" t="s">
        <v>12</v>
      </c>
    </row>
  </sheetData>
  <mergeCells count="2">
    <mergeCell ref="B2:E2"/>
    <mergeCell ref="G2:J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A13D-2AB3-48AA-B828-ABDC8857A8FC}">
  <dimension ref="A1:N18"/>
  <sheetViews>
    <sheetView showGridLines="0" zoomScale="79" workbookViewId="0">
      <selection activeCell="G4" sqref="G4"/>
    </sheetView>
  </sheetViews>
  <sheetFormatPr defaultColWidth="13.5" defaultRowHeight="18" x14ac:dyDescent="0.4"/>
  <cols>
    <col min="1" max="3" width="8.19921875" style="25" customWidth="1"/>
    <col min="4" max="4" width="14.59765625" style="25" customWidth="1"/>
    <col min="5" max="5" width="12.19921875" style="25" bestFit="1" customWidth="1"/>
    <col min="6" max="6" width="12.19921875" style="25" customWidth="1"/>
    <col min="7" max="8" width="13.3984375" style="25" customWidth="1"/>
    <col min="9" max="9" width="14" style="25" customWidth="1"/>
    <col min="10" max="10" width="15.19921875" style="25" customWidth="1"/>
    <col min="11" max="11" width="3.69921875" style="25" customWidth="1"/>
    <col min="12" max="12" width="16.3984375" style="25" bestFit="1" customWidth="1"/>
    <col min="13" max="13" width="19.09765625" style="25" customWidth="1"/>
    <col min="14" max="14" width="23.5" style="25" bestFit="1" customWidth="1"/>
    <col min="15" max="16384" width="13.5" style="25"/>
  </cols>
  <sheetData>
    <row r="1" spans="1:14" ht="97.95" customHeight="1" thickBot="1" x14ac:dyDescent="0.45">
      <c r="A1" s="19" t="s">
        <v>13</v>
      </c>
      <c r="B1" s="24"/>
      <c r="C1" s="24"/>
      <c r="L1" s="28"/>
    </row>
    <row r="2" spans="1:14" ht="29.4" customHeight="1" thickBot="1" x14ac:dyDescent="0.45">
      <c r="D2" s="56" t="s">
        <v>26</v>
      </c>
      <c r="E2" s="57"/>
      <c r="F2" s="58"/>
      <c r="G2" s="56" t="s">
        <v>18</v>
      </c>
      <c r="H2" s="57"/>
      <c r="I2" s="58"/>
      <c r="J2" s="47" t="s">
        <v>27</v>
      </c>
      <c r="L2" s="59" t="s">
        <v>19</v>
      </c>
      <c r="M2" s="60"/>
    </row>
    <row r="3" spans="1:14" s="20" customFormat="1" ht="31.2" customHeight="1" thickBot="1" x14ac:dyDescent="0.45">
      <c r="A3" s="55" t="s">
        <v>9</v>
      </c>
      <c r="B3" s="55"/>
      <c r="C3" s="55"/>
      <c r="D3" s="34" t="s">
        <v>23</v>
      </c>
      <c r="E3" s="35" t="s">
        <v>24</v>
      </c>
      <c r="F3" s="35" t="s">
        <v>25</v>
      </c>
      <c r="G3" s="43" t="s">
        <v>14</v>
      </c>
      <c r="H3" s="27" t="s">
        <v>15</v>
      </c>
      <c r="I3" s="44" t="s">
        <v>16</v>
      </c>
      <c r="J3" s="36" t="s">
        <v>17</v>
      </c>
      <c r="K3" s="36"/>
      <c r="L3" s="37" t="s">
        <v>21</v>
      </c>
      <c r="M3" s="38" t="s">
        <v>20</v>
      </c>
      <c r="N3" s="21"/>
    </row>
    <row r="4" spans="1:14" s="20" customFormat="1" ht="25.95" customHeight="1" x14ac:dyDescent="0.4">
      <c r="A4" s="22">
        <f ca="1">RANDBETWEEN(0,1)</f>
        <v>1</v>
      </c>
      <c r="B4" s="22">
        <f ca="1">IF(A4 &gt; 0, 0, RANDBETWEEN(0,1))</f>
        <v>0</v>
      </c>
      <c r="C4" s="22">
        <f ca="1">IF(SUM(A4:B4) &gt;0, 0, RANDBETWEEN(0,1))</f>
        <v>0</v>
      </c>
      <c r="D4" s="30">
        <f ca="1">RAND()</f>
        <v>0.68248507899260713</v>
      </c>
      <c r="E4" s="29">
        <f t="shared" ref="E4:F4" ca="1" si="0">RAND()</f>
        <v>6.9449508051247055E-2</v>
      </c>
      <c r="F4" s="29">
        <f t="shared" ca="1" si="0"/>
        <v>0.38824228601057298</v>
      </c>
      <c r="G4" s="45">
        <f ca="1">EXP(D4)/SUM(EXP($D4)+EXP($E4)+EXP($F4))</f>
        <v>0.43729237119293735</v>
      </c>
      <c r="H4" s="21">
        <f t="shared" ref="H4:I4" ca="1" si="1">EXP(E4)/SUM(EXP($D4)+EXP($E4)+EXP($F4))</f>
        <v>0.2368830222015342</v>
      </c>
      <c r="I4" s="46">
        <f t="shared" ca="1" si="1"/>
        <v>0.32582460660552859</v>
      </c>
      <c r="J4" s="23">
        <f ca="1">SUM(G4:I4)</f>
        <v>1</v>
      </c>
      <c r="K4" s="23"/>
      <c r="L4" s="39">
        <f ca="1">-(A4*LN(G4) + B4*LN(H4) + C4*LN(I4))</f>
        <v>0.82715326596368899</v>
      </c>
      <c r="M4" s="40">
        <f ca="1">-SUMPRODUCT(A4:C4, LN(G4:I4))</f>
        <v>0.82715326596368899</v>
      </c>
      <c r="N4" s="23"/>
    </row>
    <row r="5" spans="1:14" s="20" customFormat="1" ht="25.95" customHeight="1" x14ac:dyDescent="0.4">
      <c r="A5" s="22">
        <f t="shared" ref="A5:A13" ca="1" si="2">RANDBETWEEN(0,1)</f>
        <v>1</v>
      </c>
      <c r="B5" s="22">
        <f t="shared" ref="B5:B13" ca="1" si="3">IF(A5 &gt; 0, 0, RANDBETWEEN(0,1))</f>
        <v>0</v>
      </c>
      <c r="C5" s="22">
        <f t="shared" ref="C5" ca="1" si="4">IF(SUM(A5:B5) &gt;0, 0, RANDBETWEEN(0,1))</f>
        <v>0</v>
      </c>
      <c r="D5" s="30">
        <f t="shared" ref="D5:F13" ca="1" si="5">RAND()</f>
        <v>0.77920918517425553</v>
      </c>
      <c r="E5" s="29">
        <f t="shared" ca="1" si="5"/>
        <v>0.8035368169477185</v>
      </c>
      <c r="F5" s="29">
        <f t="shared" ca="1" si="5"/>
        <v>0.22549136018094251</v>
      </c>
      <c r="G5" s="45">
        <f t="shared" ref="G5:G12" ca="1" si="6">EXP(D5)/SUM(EXP($D5)+EXP($E5)+EXP($F5))</f>
        <v>0.38469901858032174</v>
      </c>
      <c r="H5" s="21">
        <f t="shared" ref="H5:H13" ca="1" si="7">EXP(E5)/SUM(EXP($D5)+EXP($E5)+EXP($F5))</f>
        <v>0.39417260234916446</v>
      </c>
      <c r="I5" s="46">
        <f t="shared" ref="I5:I13" ca="1" si="8">EXP(F5)/SUM(EXP($D5)+EXP($E5)+EXP($F5))</f>
        <v>0.22112837907051378</v>
      </c>
      <c r="J5" s="23">
        <f t="shared" ref="J5:J13" ca="1" si="9">SUM(G5:I5)</f>
        <v>0.99999999999999989</v>
      </c>
      <c r="K5" s="23"/>
      <c r="L5" s="39">
        <f t="shared" ref="L5:L13" ca="1" si="10">-(A5*LN(G5) + B5*LN(H5) + C5*LN(I5))</f>
        <v>0.95529402035705668</v>
      </c>
      <c r="M5" s="40" cm="1">
        <f t="array" aca="1" ref="M5" ca="1">-SUMPRODUCT(A5:C5, LN(G5:I5))</f>
        <v>0.95529402035705668</v>
      </c>
      <c r="N5" s="23"/>
    </row>
    <row r="6" spans="1:14" s="20" customFormat="1" ht="25.95" customHeight="1" x14ac:dyDescent="0.4">
      <c r="A6" s="22">
        <f t="shared" ca="1" si="2"/>
        <v>0</v>
      </c>
      <c r="B6" s="22">
        <v>1</v>
      </c>
      <c r="C6" s="22">
        <f t="shared" ref="C6:C13" ca="1" si="11">IF(SUM(A6:B6) &gt;0, 0, RANDBETWEEN(0,1))</f>
        <v>0</v>
      </c>
      <c r="D6" s="30">
        <f t="shared" ca="1" si="5"/>
        <v>0.43230825134560513</v>
      </c>
      <c r="E6" s="29">
        <f t="shared" ca="1" si="5"/>
        <v>0.80649889585783918</v>
      </c>
      <c r="F6" s="29">
        <f t="shared" ca="1" si="5"/>
        <v>0.29887815965395625</v>
      </c>
      <c r="G6" s="45">
        <f t="shared" ca="1" si="6"/>
        <v>0.30039926710404474</v>
      </c>
      <c r="H6" s="21">
        <f t="shared" ca="1" si="7"/>
        <v>0.43672474594596333</v>
      </c>
      <c r="I6" s="46">
        <f t="shared" ca="1" si="8"/>
        <v>0.26287598694999204</v>
      </c>
      <c r="J6" s="23">
        <f t="shared" ca="1" si="9"/>
        <v>1</v>
      </c>
      <c r="K6" s="23"/>
      <c r="L6" s="39">
        <f t="shared" ca="1" si="10"/>
        <v>0.82845215431643893</v>
      </c>
      <c r="M6" s="40">
        <f t="shared" ref="M6:M13" ca="1" si="12">-SUMPRODUCT(A6:C6, LN(G6:I6))</f>
        <v>0.82845215431643893</v>
      </c>
      <c r="N6" s="23"/>
    </row>
    <row r="7" spans="1:14" s="20" customFormat="1" ht="25.95" customHeight="1" x14ac:dyDescent="0.4">
      <c r="A7" s="22">
        <f t="shared" ca="1" si="2"/>
        <v>0</v>
      </c>
      <c r="B7" s="22">
        <f t="shared" ca="1" si="3"/>
        <v>0</v>
      </c>
      <c r="C7" s="22">
        <f t="shared" ca="1" si="11"/>
        <v>0</v>
      </c>
      <c r="D7" s="30">
        <f t="shared" ca="1" si="5"/>
        <v>0.25882323326061785</v>
      </c>
      <c r="E7" s="29">
        <f t="shared" ca="1" si="5"/>
        <v>0.50810990942379863</v>
      </c>
      <c r="F7" s="29">
        <f t="shared" ca="1" si="5"/>
        <v>0.72584792921460795</v>
      </c>
      <c r="G7" s="45">
        <f t="shared" ca="1" si="6"/>
        <v>0.25784156692902394</v>
      </c>
      <c r="H7" s="21">
        <f t="shared" ca="1" si="7"/>
        <v>0.33083904584732543</v>
      </c>
      <c r="I7" s="46">
        <f t="shared" ca="1" si="8"/>
        <v>0.41131938722365069</v>
      </c>
      <c r="J7" s="23">
        <f t="shared" ca="1" si="9"/>
        <v>1</v>
      </c>
      <c r="K7" s="23"/>
      <c r="L7" s="39">
        <f t="shared" ca="1" si="10"/>
        <v>0</v>
      </c>
      <c r="M7" s="40">
        <f t="shared" ca="1" si="12"/>
        <v>0</v>
      </c>
      <c r="N7" s="23"/>
    </row>
    <row r="8" spans="1:14" s="20" customFormat="1" ht="25.95" customHeight="1" x14ac:dyDescent="0.4">
      <c r="A8" s="22">
        <f t="shared" ca="1" si="2"/>
        <v>0</v>
      </c>
      <c r="B8" s="22">
        <f t="shared" ca="1" si="3"/>
        <v>1</v>
      </c>
      <c r="C8" s="22">
        <f t="shared" ca="1" si="11"/>
        <v>0</v>
      </c>
      <c r="D8" s="30">
        <f t="shared" ca="1" si="5"/>
        <v>0.34771342458224763</v>
      </c>
      <c r="E8" s="29">
        <f t="shared" ca="1" si="5"/>
        <v>1.1182671728297455E-2</v>
      </c>
      <c r="F8" s="29">
        <f t="shared" ca="1" si="5"/>
        <v>0.66770470428809081</v>
      </c>
      <c r="G8" s="45">
        <f t="shared" ca="1" si="6"/>
        <v>0.32348225556885929</v>
      </c>
      <c r="H8" s="21">
        <f t="shared" ca="1" si="7"/>
        <v>0.23104523368551502</v>
      </c>
      <c r="I8" s="46">
        <f t="shared" ca="1" si="8"/>
        <v>0.44547251074562572</v>
      </c>
      <c r="J8" s="23">
        <f t="shared" ca="1" si="9"/>
        <v>1</v>
      </c>
      <c r="K8" s="23"/>
      <c r="L8" s="39">
        <f t="shared" ca="1" si="10"/>
        <v>1.4651417708095433</v>
      </c>
      <c r="M8" s="40">
        <f t="shared" ca="1" si="12"/>
        <v>1.4651417708095433</v>
      </c>
      <c r="N8" s="23"/>
    </row>
    <row r="9" spans="1:14" s="20" customFormat="1" ht="25.95" customHeight="1" x14ac:dyDescent="0.4">
      <c r="A9" s="22">
        <f t="shared" ca="1" si="2"/>
        <v>1</v>
      </c>
      <c r="B9" s="22">
        <f t="shared" ca="1" si="3"/>
        <v>0</v>
      </c>
      <c r="C9" s="22">
        <f t="shared" ca="1" si="11"/>
        <v>0</v>
      </c>
      <c r="D9" s="30">
        <f t="shared" ca="1" si="5"/>
        <v>2.5100950815192813E-2</v>
      </c>
      <c r="E9" s="29">
        <f t="shared" ca="1" si="5"/>
        <v>0.14041579884401456</v>
      </c>
      <c r="F9" s="29">
        <f t="shared" ca="1" si="5"/>
        <v>0.15006928867025848</v>
      </c>
      <c r="G9" s="45">
        <f t="shared" ca="1" si="6"/>
        <v>0.30718764201261867</v>
      </c>
      <c r="H9" s="21">
        <f t="shared" ca="1" si="7"/>
        <v>0.34473417771580322</v>
      </c>
      <c r="I9" s="46">
        <f t="shared" ca="1" si="8"/>
        <v>0.34807818027157811</v>
      </c>
      <c r="J9" s="23">
        <f t="shared" ca="1" si="9"/>
        <v>1</v>
      </c>
      <c r="K9" s="23"/>
      <c r="L9" s="39">
        <f t="shared" ca="1" si="10"/>
        <v>1.1802965063412876</v>
      </c>
      <c r="M9" s="40">
        <f t="shared" ca="1" si="12"/>
        <v>1.1802965063412876</v>
      </c>
      <c r="N9" s="23"/>
    </row>
    <row r="10" spans="1:14" s="20" customFormat="1" ht="25.95" customHeight="1" x14ac:dyDescent="0.4">
      <c r="A10" s="22">
        <f t="shared" ca="1" si="2"/>
        <v>0</v>
      </c>
      <c r="B10" s="22">
        <f t="shared" ca="1" si="3"/>
        <v>0</v>
      </c>
      <c r="C10" s="22">
        <f t="shared" ca="1" si="11"/>
        <v>0</v>
      </c>
      <c r="D10" s="30">
        <f t="shared" ca="1" si="5"/>
        <v>0.96632258174273544</v>
      </c>
      <c r="E10" s="29">
        <f t="shared" ca="1" si="5"/>
        <v>0.84213375431094262</v>
      </c>
      <c r="F10" s="29">
        <f t="shared" ca="1" si="5"/>
        <v>0.73551673288043229</v>
      </c>
      <c r="G10" s="45">
        <f t="shared" ca="1" si="6"/>
        <v>0.37353760447605422</v>
      </c>
      <c r="H10" s="21">
        <f t="shared" ca="1" si="7"/>
        <v>0.32991328704504252</v>
      </c>
      <c r="I10" s="46">
        <f t="shared" ca="1" si="8"/>
        <v>0.29654910847890331</v>
      </c>
      <c r="J10" s="23">
        <f t="shared" ca="1" si="9"/>
        <v>1</v>
      </c>
      <c r="K10" s="23"/>
      <c r="L10" s="39">
        <f t="shared" ca="1" si="10"/>
        <v>0</v>
      </c>
      <c r="M10" s="40">
        <f t="shared" ca="1" si="12"/>
        <v>0</v>
      </c>
      <c r="N10" s="23"/>
    </row>
    <row r="11" spans="1:14" s="20" customFormat="1" ht="25.95" customHeight="1" x14ac:dyDescent="0.4">
      <c r="A11" s="22">
        <f t="shared" ca="1" si="2"/>
        <v>1</v>
      </c>
      <c r="B11" s="22">
        <f t="shared" ca="1" si="3"/>
        <v>0</v>
      </c>
      <c r="C11" s="22">
        <f t="shared" ca="1" si="11"/>
        <v>0</v>
      </c>
      <c r="D11" s="30">
        <f t="shared" ca="1" si="5"/>
        <v>0.60839711934337348</v>
      </c>
      <c r="E11" s="29">
        <f t="shared" ca="1" si="5"/>
        <v>0.2965327957622661</v>
      </c>
      <c r="F11" s="29">
        <f t="shared" ca="1" si="5"/>
        <v>0.91949647776218568</v>
      </c>
      <c r="G11" s="45">
        <f t="shared" ca="1" si="6"/>
        <v>0.32289253030395015</v>
      </c>
      <c r="H11" s="21">
        <f t="shared" ca="1" si="7"/>
        <v>0.23638343726806077</v>
      </c>
      <c r="I11" s="46">
        <f t="shared" ca="1" si="8"/>
        <v>0.44072403242798891</v>
      </c>
      <c r="J11" s="23">
        <f t="shared" ca="1" si="9"/>
        <v>0.99999999999999978</v>
      </c>
      <c r="K11" s="23"/>
      <c r="L11" s="39">
        <f t="shared" ca="1" si="10"/>
        <v>1.1304357346414133</v>
      </c>
      <c r="M11" s="40">
        <f t="shared" ca="1" si="12"/>
        <v>1.1304357346414133</v>
      </c>
      <c r="N11" s="23"/>
    </row>
    <row r="12" spans="1:14" s="20" customFormat="1" ht="25.95" customHeight="1" x14ac:dyDescent="0.4">
      <c r="A12" s="22">
        <f t="shared" ca="1" si="2"/>
        <v>1</v>
      </c>
      <c r="B12" s="22">
        <f t="shared" ca="1" si="3"/>
        <v>0</v>
      </c>
      <c r="C12" s="22">
        <f t="shared" ca="1" si="11"/>
        <v>0</v>
      </c>
      <c r="D12" s="30">
        <f t="shared" ca="1" si="5"/>
        <v>0.35471764276890072</v>
      </c>
      <c r="E12" s="29">
        <f t="shared" ca="1" si="5"/>
        <v>0.40980822788472571</v>
      </c>
      <c r="F12" s="29">
        <f t="shared" ca="1" si="5"/>
        <v>0.51825021302843077</v>
      </c>
      <c r="G12" s="45">
        <f t="shared" ca="1" si="6"/>
        <v>0.30918590992979961</v>
      </c>
      <c r="H12" s="21">
        <f t="shared" ca="1" si="7"/>
        <v>0.32669706387726094</v>
      </c>
      <c r="I12" s="46">
        <f t="shared" ca="1" si="8"/>
        <v>0.36411702619293945</v>
      </c>
      <c r="J12" s="23">
        <f t="shared" ca="1" si="9"/>
        <v>1</v>
      </c>
      <c r="K12" s="23"/>
      <c r="L12" s="39">
        <f ca="1">-(A12*LN(G12) + B12*LN(H12) + C12*LN(I12))</f>
        <v>1.1738125327450941</v>
      </c>
      <c r="M12" s="40">
        <f t="shared" ca="1" si="12"/>
        <v>1.1738125327450941</v>
      </c>
      <c r="N12" s="23"/>
    </row>
    <row r="13" spans="1:14" s="20" customFormat="1" ht="25.95" customHeight="1" thickBot="1" x14ac:dyDescent="0.45">
      <c r="A13" s="48">
        <f t="shared" ca="1" si="2"/>
        <v>1</v>
      </c>
      <c r="B13" s="48">
        <f t="shared" ca="1" si="3"/>
        <v>0</v>
      </c>
      <c r="C13" s="48">
        <f t="shared" ca="1" si="11"/>
        <v>0</v>
      </c>
      <c r="D13" s="49">
        <f t="shared" ca="1" si="5"/>
        <v>0.3891204584883039</v>
      </c>
      <c r="E13" s="50">
        <f t="shared" ca="1" si="5"/>
        <v>0.9325898875493599</v>
      </c>
      <c r="F13" s="50">
        <f t="shared" ca="1" si="5"/>
        <v>0.84498127831781655</v>
      </c>
      <c r="G13" s="37">
        <f ca="1">EXP(D13)/SUM(EXP($D13)+EXP($E13)+EXP($F13))</f>
        <v>0.23258510131719792</v>
      </c>
      <c r="H13" s="36">
        <f t="shared" ca="1" si="7"/>
        <v>0.40050474506367634</v>
      </c>
      <c r="I13" s="38">
        <f t="shared" ca="1" si="8"/>
        <v>0.36691015361912588</v>
      </c>
      <c r="J13" s="51">
        <f t="shared" ca="1" si="9"/>
        <v>1.0000000000000002</v>
      </c>
      <c r="K13" s="51"/>
      <c r="L13" s="41">
        <f t="shared" ca="1" si="10"/>
        <v>1.4584990937555853</v>
      </c>
      <c r="M13" s="42">
        <f t="shared" ca="1" si="12"/>
        <v>1.4584990937555853</v>
      </c>
      <c r="N13" s="23"/>
    </row>
    <row r="14" spans="1:14" ht="32.25" customHeight="1" x14ac:dyDescent="0.4">
      <c r="J14" s="31"/>
      <c r="K14" s="32" t="s">
        <v>22</v>
      </c>
      <c r="L14" s="33">
        <f ca="1">SUM(L4:L13)</f>
        <v>9.0190850789301074</v>
      </c>
    </row>
    <row r="15" spans="1:14" ht="25.95" customHeight="1" x14ac:dyDescent="0.4">
      <c r="J15" s="26"/>
      <c r="K15" s="26"/>
      <c r="L15" s="26"/>
    </row>
    <row r="17" spans="4:4" ht="34.950000000000003" customHeight="1" x14ac:dyDescent="0.4"/>
    <row r="18" spans="4:4" x14ac:dyDescent="0.4">
      <c r="D18" s="25" t="s">
        <v>12</v>
      </c>
    </row>
  </sheetData>
  <mergeCells count="4">
    <mergeCell ref="A3:C3"/>
    <mergeCell ref="G2:I2"/>
    <mergeCell ref="L2:M2"/>
    <mergeCell ref="D2:F2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7C85F8-82B6-4CF3-80DF-E9F045118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loss</vt:lpstr>
      <vt:lpstr>Log-Loss</vt:lpstr>
      <vt:lpstr>Cross-Entropy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Sanggoo Cho</dc:creator>
  <cp:lastModifiedBy>Sanggoo Cho</cp:lastModifiedBy>
  <dcterms:created xsi:type="dcterms:W3CDTF">2026-04-20T10:43:34Z</dcterms:created>
  <dcterms:modified xsi:type="dcterms:W3CDTF">2026-05-07T12:26:02Z</dcterms:modified>
</cp:coreProperties>
</file>