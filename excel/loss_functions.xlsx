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G\Downloads\"/>
    </mc:Choice>
  </mc:AlternateContent>
  <xr:revisionPtr revIDLastSave="0" documentId="13_ncr:1_{DEE52AF9-DAC5-41D1-8B5A-F57A71E5C782}" xr6:coauthVersionLast="47" xr6:coauthVersionMax="47" xr10:uidLastSave="{00000000-0000-0000-0000-000000000000}"/>
  <bookViews>
    <workbookView xWindow="-120" yWindow="-120" windowWidth="29040" windowHeight="15720" activeTab="1" xr2:uid="{064F2A64-9CD9-400C-9F24-93DDEFEC9914}"/>
  </bookViews>
  <sheets>
    <sheet name="Log-Loss" sheetId="1" r:id="rId1"/>
    <sheet name="Cross-Entropy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2" l="1"/>
  <c r="A6" i="2"/>
  <c r="C6" i="2" s="1"/>
  <c r="A7" i="2"/>
  <c r="B7" i="2" s="1"/>
  <c r="C7" i="2" s="1"/>
  <c r="A8" i="2"/>
  <c r="B8" i="2" s="1"/>
  <c r="A9" i="2"/>
  <c r="B9" i="2" s="1"/>
  <c r="A10" i="2"/>
  <c r="B10" i="2" s="1"/>
  <c r="C10" i="2" s="1"/>
  <c r="A11" i="2"/>
  <c r="B11" i="2" s="1"/>
  <c r="A12" i="2"/>
  <c r="B12" i="2" s="1"/>
  <c r="A13" i="2"/>
  <c r="B13" i="2" s="1"/>
  <c r="C13" i="2" s="1"/>
  <c r="E4" i="2"/>
  <c r="F4" i="2"/>
  <c r="E5" i="2"/>
  <c r="F5" i="2"/>
  <c r="E6" i="2"/>
  <c r="F6" i="2"/>
  <c r="E7" i="2"/>
  <c r="F7" i="2"/>
  <c r="E8" i="2"/>
  <c r="F8" i="2"/>
  <c r="E9" i="2"/>
  <c r="F9" i="2"/>
  <c r="E10" i="2"/>
  <c r="F10" i="2"/>
  <c r="E11" i="2"/>
  <c r="F11" i="2"/>
  <c r="E12" i="2"/>
  <c r="F12" i="2"/>
  <c r="E13" i="2"/>
  <c r="F13" i="2"/>
  <c r="A5" i="2"/>
  <c r="B5" i="2" s="1"/>
  <c r="C5" i="2" s="1"/>
  <c r="D13" i="2"/>
  <c r="D12" i="2"/>
  <c r="D11" i="2"/>
  <c r="D10" i="2"/>
  <c r="D9" i="2"/>
  <c r="D8" i="2"/>
  <c r="D7" i="2"/>
  <c r="D6" i="2"/>
  <c r="D5" i="2"/>
  <c r="D4" i="2"/>
  <c r="A4" i="2"/>
  <c r="B4" i="2" s="1"/>
  <c r="G5" i="1"/>
  <c r="H5" i="1" s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4" i="1"/>
  <c r="H4" i="1" s="1"/>
  <c r="B4" i="1"/>
  <c r="C4" i="1" s="1"/>
  <c r="B5" i="1"/>
  <c r="C5" i="1" s="1"/>
  <c r="B6" i="1"/>
  <c r="C6" i="1" s="1"/>
  <c r="B7" i="1"/>
  <c r="C7" i="1" s="1"/>
  <c r="B8" i="1"/>
  <c r="C8" i="1" s="1"/>
  <c r="B9" i="1"/>
  <c r="C9" i="1" s="1"/>
  <c r="B10" i="1"/>
  <c r="C10" i="1" s="1"/>
  <c r="B11" i="1"/>
  <c r="C11" i="1" s="1"/>
  <c r="B12" i="1"/>
  <c r="C12" i="1" s="1"/>
  <c r="B13" i="1"/>
  <c r="C13" i="1" s="1"/>
  <c r="A5" i="1"/>
  <c r="A6" i="1"/>
  <c r="A7" i="1"/>
  <c r="A8" i="1"/>
  <c r="A9" i="1"/>
  <c r="A10" i="1"/>
  <c r="A11" i="1"/>
  <c r="A12" i="1"/>
  <c r="A13" i="1"/>
  <c r="A4" i="1"/>
  <c r="E4" i="1" l="1"/>
  <c r="C12" i="2"/>
  <c r="C9" i="2"/>
  <c r="C8" i="2"/>
  <c r="C11" i="2"/>
  <c r="G12" i="2"/>
  <c r="G4" i="2"/>
  <c r="I7" i="2"/>
  <c r="I11" i="2"/>
  <c r="H11" i="2"/>
  <c r="I9" i="2"/>
  <c r="H7" i="2"/>
  <c r="H12" i="2"/>
  <c r="H8" i="2"/>
  <c r="I12" i="2"/>
  <c r="I10" i="2"/>
  <c r="H10" i="2"/>
  <c r="H6" i="2"/>
  <c r="I13" i="2"/>
  <c r="I5" i="2"/>
  <c r="H13" i="2"/>
  <c r="H9" i="2"/>
  <c r="H5" i="2"/>
  <c r="I8" i="2"/>
  <c r="G10" i="2"/>
  <c r="G9" i="2"/>
  <c r="G6" i="2"/>
  <c r="G11" i="2"/>
  <c r="I6" i="2"/>
  <c r="G8" i="2"/>
  <c r="G7" i="2"/>
  <c r="G5" i="2"/>
  <c r="I4" i="2"/>
  <c r="H4" i="2"/>
  <c r="C4" i="2"/>
  <c r="J7" i="1"/>
  <c r="J4" i="1"/>
  <c r="I6" i="1"/>
  <c r="I5" i="1"/>
  <c r="I12" i="1"/>
  <c r="I13" i="1"/>
  <c r="J12" i="1"/>
  <c r="J11" i="1"/>
  <c r="J10" i="1"/>
  <c r="J9" i="1"/>
  <c r="J8" i="1"/>
  <c r="J6" i="1"/>
  <c r="J13" i="1"/>
  <c r="J5" i="1"/>
  <c r="I7" i="1"/>
  <c r="I11" i="1"/>
  <c r="I10" i="1"/>
  <c r="I8" i="1"/>
  <c r="I9" i="1"/>
  <c r="I4" i="1"/>
  <c r="E10" i="1"/>
  <c r="D11" i="1"/>
  <c r="D5" i="1"/>
  <c r="D12" i="1"/>
  <c r="D6" i="1"/>
  <c r="D8" i="1"/>
  <c r="D13" i="1"/>
  <c r="D7" i="1"/>
  <c r="E8" i="1"/>
  <c r="D9" i="1"/>
  <c r="D10" i="1"/>
  <c r="E13" i="1"/>
  <c r="E7" i="1"/>
  <c r="D4" i="1"/>
  <c r="E12" i="1"/>
  <c r="E6" i="1"/>
  <c r="E11" i="1"/>
  <c r="E9" i="1"/>
  <c r="E5" i="1"/>
  <c r="M5" i="2" l="1" a="1"/>
  <c r="M5" i="2" s="1"/>
  <c r="M10" i="2"/>
  <c r="M13" i="2"/>
  <c r="M7" i="2"/>
  <c r="M8" i="2"/>
  <c r="M9" i="2"/>
  <c r="M6" i="2"/>
  <c r="M12" i="2"/>
  <c r="M11" i="2"/>
  <c r="M4" i="2"/>
  <c r="L12" i="2"/>
  <c r="L5" i="2"/>
  <c r="L7" i="2"/>
  <c r="L4" i="2"/>
  <c r="L13" i="2"/>
  <c r="L6" i="2"/>
  <c r="L11" i="2"/>
  <c r="L8" i="2"/>
  <c r="L10" i="2"/>
  <c r="L9" i="2"/>
  <c r="J12" i="2"/>
  <c r="J7" i="2"/>
  <c r="J11" i="2"/>
  <c r="J6" i="2"/>
  <c r="J9" i="2"/>
  <c r="J10" i="2"/>
  <c r="J5" i="2"/>
  <c r="J13" i="2"/>
  <c r="J8" i="2"/>
  <c r="J4" i="2"/>
  <c r="J14" i="1"/>
  <c r="I14" i="1"/>
  <c r="E14" i="1"/>
  <c r="D14" i="1"/>
  <c r="L14" i="2" l="1"/>
  <c r="E15" i="1"/>
  <c r="J15" i="1"/>
  <c r="F17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<sst xmlns="http://schemas.openxmlformats.org/spreadsheetml/2006/main" count="34" uniqueCount="28">
  <si>
    <t>y*log(p)</t>
  </si>
  <si>
    <t>(1-y)*log(1-p)</t>
  </si>
  <si>
    <t>Log-Loss</t>
    <phoneticPr fontId="2" type="noConversion"/>
  </si>
  <si>
    <t>p : p(y=1)</t>
    <phoneticPr fontId="2" type="noConversion"/>
  </si>
  <si>
    <t>Model A</t>
    <phoneticPr fontId="2" type="noConversion"/>
  </si>
  <si>
    <t>Model B</t>
    <phoneticPr fontId="2" type="noConversion"/>
  </si>
  <si>
    <t>sum of log loss</t>
    <phoneticPr fontId="2" type="noConversion"/>
  </si>
  <si>
    <t>Total sum of log loss</t>
    <phoneticPr fontId="2" type="noConversion"/>
  </si>
  <si>
    <t>y_hat</t>
    <phoneticPr fontId="2" type="noConversion"/>
  </si>
  <si>
    <t>y (actual)</t>
    <phoneticPr fontId="2" type="noConversion"/>
  </si>
  <si>
    <t xml:space="preserve">모델 </t>
    <phoneticPr fontId="2" type="noConversion"/>
  </si>
  <si>
    <t>가 더 우수함</t>
    <phoneticPr fontId="2" type="noConversion"/>
  </si>
  <si>
    <t>`</t>
    <phoneticPr fontId="2" type="noConversion"/>
  </si>
  <si>
    <t>Cross-Entropy</t>
    <phoneticPr fontId="2" type="noConversion"/>
  </si>
  <si>
    <t>p(y=1)</t>
    <phoneticPr fontId="2" type="noConversion"/>
  </si>
  <si>
    <t>p(y=2)</t>
  </si>
  <si>
    <t>p(y=3)</t>
  </si>
  <si>
    <t>total</t>
    <phoneticPr fontId="2" type="noConversion"/>
  </si>
  <si>
    <t>softmax(generate probability)</t>
    <phoneticPr fontId="2" type="noConversion"/>
  </si>
  <si>
    <t>H(P, Q)</t>
    <phoneticPr fontId="2" type="noConversion"/>
  </si>
  <si>
    <t>inner product</t>
    <phoneticPr fontId="2" type="noConversion"/>
  </si>
  <si>
    <t xml:space="preserve">단순계산 </t>
    <phoneticPr fontId="2" type="noConversion"/>
  </si>
  <si>
    <t>Total Loss</t>
    <phoneticPr fontId="2" type="noConversion"/>
  </si>
  <si>
    <t>logit(1)</t>
    <phoneticPr fontId="2" type="noConversion"/>
  </si>
  <si>
    <t>logit(2)</t>
  </si>
  <si>
    <t>logit(3)</t>
  </si>
  <si>
    <t>logit scores</t>
    <phoneticPr fontId="2" type="noConversion"/>
  </si>
  <si>
    <t>Sum(softmax)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</si>
</sst>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_-* #,##0.00_-;\-* #,##0.00_-;_-* &quot;-&quot;_-;_-@_-"/>
    <numFmt numFmtId="177" formatCode="#,##0.00_ "/>
    <numFmt numFmtId="178" formatCode="#,##0_ 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24"/>
      <name val="D2Coding"/>
      <family val="3"/>
      <charset val="129"/>
    </font>
    <font>
      <sz val="18"/>
      <name val="D2Coding"/>
      <family val="3"/>
      <charset val="129"/>
    </font>
    <font>
      <b/>
      <sz val="18"/>
      <name val="D2Coding"/>
      <family val="3"/>
      <charset val="129"/>
    </font>
    <font>
      <b/>
      <sz val="18"/>
      <color theme="0"/>
      <name val="D2Coding"/>
      <family val="3"/>
      <charset val="129"/>
    </font>
    <font>
      <b/>
      <sz val="16"/>
      <name val="D2Coding"/>
      <family val="3"/>
      <charset val="129"/>
    </font>
    <font>
      <sz val="16"/>
      <name val="D2Coding"/>
      <family val="3"/>
      <charset val="129"/>
    </font>
    <font>
      <b/>
      <sz val="14"/>
      <name val="D2Coding"/>
      <family val="3"/>
      <charset val="129"/>
    </font>
    <font>
      <sz val="14"/>
      <name val="D2Coding"/>
      <family val="3"/>
      <charset val="129"/>
    </font>
    <font>
      <sz val="14"/>
      <name val="맑은 고딕"/>
      <family val="2"/>
      <charset val="129"/>
      <scheme val="minor"/>
    </font>
    <font>
      <i/>
      <sz val="16"/>
      <name val="D2Coding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61">
    <xf numFmtId="0" fontId="0" fillId="0" borderId="0" xfId="0">
      <alignment vertical="center"/>
    </xf>
    <xf numFmtId="176" fontId="3" fillId="0" borderId="0" xfId="1" applyNumberFormat="1" applyFont="1" applyAlignment="1">
      <alignment horizontal="right" vertical="center"/>
    </xf>
    <xf numFmtId="176" fontId="4" fillId="0" borderId="0" xfId="1" applyNumberFormat="1" applyFont="1" applyAlignment="1">
      <alignment horizontal="right" vertical="center"/>
    </xf>
    <xf numFmtId="176" fontId="4" fillId="0" borderId="0" xfId="1" applyNumberFormat="1" applyFont="1" applyBorder="1" applyAlignment="1">
      <alignment horizontal="right" vertical="center"/>
    </xf>
    <xf numFmtId="176" fontId="4" fillId="0" borderId="1" xfId="1" applyNumberFormat="1" applyFont="1" applyBorder="1" applyAlignment="1">
      <alignment horizontal="right" vertical="center"/>
    </xf>
    <xf numFmtId="178" fontId="4" fillId="0" borderId="8" xfId="1" applyNumberFormat="1" applyFont="1" applyBorder="1" applyAlignment="1">
      <alignment horizontal="right" vertical="center"/>
    </xf>
    <xf numFmtId="178" fontId="4" fillId="0" borderId="0" xfId="1" applyNumberFormat="1" applyFont="1" applyBorder="1" applyAlignment="1">
      <alignment horizontal="right" vertical="center"/>
    </xf>
    <xf numFmtId="177" fontId="4" fillId="0" borderId="0" xfId="1" applyNumberFormat="1" applyFont="1" applyBorder="1" applyAlignment="1">
      <alignment horizontal="right" vertical="center"/>
    </xf>
    <xf numFmtId="178" fontId="4" fillId="0" borderId="6" xfId="1" applyNumberFormat="1" applyFont="1" applyBorder="1" applyAlignment="1">
      <alignment horizontal="right" vertical="center"/>
    </xf>
    <xf numFmtId="176" fontId="4" fillId="0" borderId="2" xfId="1" applyNumberFormat="1" applyFont="1" applyBorder="1" applyAlignment="1">
      <alignment horizontal="left" vertical="center"/>
    </xf>
    <xf numFmtId="176" fontId="4" fillId="0" borderId="3" xfId="1" applyNumberFormat="1" applyFont="1" applyBorder="1" applyAlignment="1">
      <alignment horizontal="right" vertical="center"/>
    </xf>
    <xf numFmtId="176" fontId="4" fillId="0" borderId="4" xfId="1" applyNumberFormat="1" applyFont="1" applyBorder="1" applyAlignment="1">
      <alignment horizontal="right" vertical="center"/>
    </xf>
    <xf numFmtId="176" fontId="4" fillId="0" borderId="2" xfId="1" applyNumberFormat="1" applyFont="1" applyBorder="1" applyAlignment="1">
      <alignment horizontal="right" vertical="center"/>
    </xf>
    <xf numFmtId="176" fontId="4" fillId="0" borderId="5" xfId="1" applyNumberFormat="1" applyFont="1" applyBorder="1" applyAlignment="1">
      <alignment horizontal="left" vertical="center"/>
    </xf>
    <xf numFmtId="176" fontId="4" fillId="0" borderId="6" xfId="1" applyNumberFormat="1" applyFont="1" applyBorder="1" applyAlignment="1">
      <alignment horizontal="right" vertical="center"/>
    </xf>
    <xf numFmtId="176" fontId="4" fillId="0" borderId="7" xfId="1" applyNumberFormat="1" applyFont="1" applyBorder="1" applyAlignment="1">
      <alignment horizontal="right" vertical="center"/>
    </xf>
    <xf numFmtId="176" fontId="4" fillId="0" borderId="5" xfId="1" applyNumberFormat="1" applyFont="1" applyBorder="1" applyAlignment="1">
      <alignment horizontal="right" vertical="center"/>
    </xf>
    <xf numFmtId="176" fontId="6" fillId="2" borderId="0" xfId="1" applyNumberFormat="1" applyFont="1" applyFill="1" applyAlignment="1">
      <alignment horizontal="right" vertical="center"/>
    </xf>
    <xf numFmtId="176" fontId="6" fillId="2" borderId="0" xfId="1" applyNumberFormat="1" applyFont="1" applyFill="1" applyAlignment="1">
      <alignment horizontal="left" vertical="center"/>
    </xf>
    <xf numFmtId="176" fontId="5" fillId="0" borderId="0" xfId="1" applyNumberFormat="1" applyFont="1" applyAlignment="1">
      <alignment horizontal="left" vertical="center"/>
    </xf>
    <xf numFmtId="176" fontId="8" fillId="0" borderId="0" xfId="1" applyNumberFormat="1" applyFont="1" applyAlignment="1">
      <alignment horizontal="right" vertical="center"/>
    </xf>
    <xf numFmtId="176" fontId="8" fillId="0" borderId="0" xfId="1" applyNumberFormat="1" applyFont="1" applyBorder="1" applyAlignment="1">
      <alignment horizontal="right" vertical="center"/>
    </xf>
    <xf numFmtId="178" fontId="8" fillId="0" borderId="0" xfId="1" applyNumberFormat="1" applyFont="1" applyBorder="1" applyAlignment="1">
      <alignment horizontal="right" vertical="center"/>
    </xf>
    <xf numFmtId="177" fontId="8" fillId="0" borderId="0" xfId="1" applyNumberFormat="1" applyFont="1" applyBorder="1" applyAlignment="1">
      <alignment horizontal="right" vertical="center"/>
    </xf>
    <xf numFmtId="176" fontId="9" fillId="0" borderId="0" xfId="1" applyNumberFormat="1" applyFont="1" applyAlignment="1">
      <alignment horizontal="left" vertical="center"/>
    </xf>
    <xf numFmtId="176" fontId="10" fillId="0" borderId="0" xfId="1" applyNumberFormat="1" applyFont="1" applyAlignment="1">
      <alignment horizontal="right" vertical="center"/>
    </xf>
    <xf numFmtId="176" fontId="10" fillId="0" borderId="0" xfId="1" applyNumberFormat="1" applyFont="1" applyBorder="1" applyAlignment="1">
      <alignment horizontal="right" vertical="center"/>
    </xf>
    <xf numFmtId="176" fontId="8" fillId="0" borderId="10" xfId="1" applyNumberFormat="1" applyFont="1" applyBorder="1" applyAlignment="1">
      <alignment horizontal="right" vertical="center"/>
    </xf>
    <xf numFmtId="176" fontId="5" fillId="0" borderId="9" xfId="1" applyNumberFormat="1" applyFont="1" applyBorder="1" applyAlignment="1">
      <alignment horizontal="center" vertical="center"/>
    </xf>
    <xf numFmtId="176" fontId="5" fillId="0" borderId="10" xfId="1" applyNumberFormat="1" applyFont="1" applyBorder="1" applyAlignment="1">
      <alignment horizontal="center" vertical="center"/>
    </xf>
    <xf numFmtId="176" fontId="5" fillId="0" borderId="11" xfId="1" applyNumberFormat="1" applyFont="1" applyBorder="1" applyAlignment="1">
      <alignment horizontal="center" vertical="center"/>
    </xf>
    <xf numFmtId="176" fontId="8" fillId="0" borderId="6" xfId="1" applyNumberFormat="1" applyFont="1" applyBorder="1" applyAlignment="1">
      <alignment horizontal="center" vertical="center"/>
    </xf>
    <xf numFmtId="0" fontId="11" fillId="0" borderId="0" xfId="0" applyFont="1">
      <alignment vertical="center"/>
    </xf>
    <xf numFmtId="176" fontId="12" fillId="0" borderId="0" xfId="1" applyNumberFormat="1" applyFont="1" applyBorder="1" applyAlignment="1">
      <alignment horizontal="right" vertical="center"/>
    </xf>
    <xf numFmtId="176" fontId="12" fillId="0" borderId="12" xfId="1" applyNumberFormat="1" applyFont="1" applyBorder="1" applyAlignment="1">
      <alignment horizontal="right" vertical="center"/>
    </xf>
    <xf numFmtId="176" fontId="10" fillId="3" borderId="0" xfId="1" applyNumberFormat="1" applyFont="1" applyFill="1" applyBorder="1" applyAlignment="1">
      <alignment horizontal="right" vertical="center"/>
    </xf>
    <xf numFmtId="176" fontId="7" fillId="3" borderId="0" xfId="1" applyNumberFormat="1" applyFont="1" applyFill="1" applyBorder="1" applyAlignment="1">
      <alignment horizontal="right" vertical="center"/>
    </xf>
    <xf numFmtId="176" fontId="8" fillId="3" borderId="0" xfId="1" applyNumberFormat="1" applyFont="1" applyFill="1" applyBorder="1" applyAlignment="1">
      <alignment horizontal="right" vertical="center"/>
    </xf>
    <xf numFmtId="176" fontId="12" fillId="0" borderId="13" xfId="1" quotePrefix="1" applyNumberFormat="1" applyFont="1" applyBorder="1" applyAlignment="1">
      <alignment horizontal="right" vertical="center"/>
    </xf>
    <xf numFmtId="176" fontId="12" fillId="0" borderId="14" xfId="1" quotePrefix="1" applyNumberFormat="1" applyFont="1" applyBorder="1" applyAlignment="1">
      <alignment horizontal="right" vertical="center"/>
    </xf>
    <xf numFmtId="176" fontId="8" fillId="0" borderId="6" xfId="1" applyNumberFormat="1" applyFont="1" applyBorder="1" applyAlignment="1">
      <alignment horizontal="right" vertical="center"/>
    </xf>
    <xf numFmtId="176" fontId="8" fillId="0" borderId="2" xfId="1" applyNumberFormat="1" applyFont="1" applyBorder="1" applyAlignment="1">
      <alignment horizontal="center" vertical="center"/>
    </xf>
    <xf numFmtId="176" fontId="8" fillId="0" borderId="4" xfId="1" applyNumberFormat="1" applyFont="1" applyBorder="1" applyAlignment="1">
      <alignment horizontal="center" vertical="center"/>
    </xf>
    <xf numFmtId="176" fontId="8" fillId="0" borderId="5" xfId="1" applyNumberFormat="1" applyFont="1" applyBorder="1" applyAlignment="1">
      <alignment horizontal="right" vertical="center"/>
    </xf>
    <xf numFmtId="176" fontId="8" fillId="0" borderId="7" xfId="1" applyNumberFormat="1" applyFont="1" applyBorder="1" applyAlignment="1">
      <alignment horizontal="right" vertical="center"/>
    </xf>
    <xf numFmtId="177" fontId="8" fillId="0" borderId="15" xfId="1" applyNumberFormat="1" applyFont="1" applyBorder="1" applyAlignment="1">
      <alignment horizontal="right" vertical="center"/>
    </xf>
    <xf numFmtId="177" fontId="8" fillId="0" borderId="16" xfId="1" applyNumberFormat="1" applyFont="1" applyBorder="1" applyAlignment="1">
      <alignment horizontal="right" vertical="center"/>
    </xf>
    <xf numFmtId="177" fontId="8" fillId="0" borderId="5" xfId="1" applyNumberFormat="1" applyFont="1" applyBorder="1" applyAlignment="1">
      <alignment horizontal="right" vertical="center"/>
    </xf>
    <xf numFmtId="177" fontId="8" fillId="0" borderId="7" xfId="1" applyNumberFormat="1" applyFont="1" applyBorder="1" applyAlignment="1">
      <alignment horizontal="right" vertical="center"/>
    </xf>
    <xf numFmtId="176" fontId="8" fillId="0" borderId="9" xfId="1" applyNumberFormat="1" applyFont="1" applyBorder="1" applyAlignment="1">
      <alignment horizontal="center" vertical="center"/>
    </xf>
    <xf numFmtId="176" fontId="8" fillId="0" borderId="10" xfId="1" applyNumberFormat="1" applyFont="1" applyBorder="1" applyAlignment="1">
      <alignment horizontal="center" vertical="center"/>
    </xf>
    <xf numFmtId="176" fontId="8" fillId="0" borderId="11" xfId="1" applyNumberFormat="1" applyFont="1" applyBorder="1" applyAlignment="1">
      <alignment horizontal="center" vertical="center"/>
    </xf>
    <xf numFmtId="176" fontId="8" fillId="0" borderId="9" xfId="1" applyNumberFormat="1" applyFont="1" applyBorder="1" applyAlignment="1">
      <alignment horizontal="right" vertical="center"/>
    </xf>
    <xf numFmtId="176" fontId="8" fillId="0" borderId="11" xfId="1" applyNumberFormat="1" applyFont="1" applyBorder="1" applyAlignment="1">
      <alignment horizontal="right" vertical="center"/>
    </xf>
    <xf numFmtId="176" fontId="8" fillId="0" borderId="15" xfId="1" applyNumberFormat="1" applyFont="1" applyBorder="1" applyAlignment="1">
      <alignment horizontal="right" vertical="center"/>
    </xf>
    <xf numFmtId="176" fontId="8" fillId="0" borderId="16" xfId="1" applyNumberFormat="1" applyFont="1" applyBorder="1" applyAlignment="1">
      <alignment horizontal="right" vertical="center"/>
    </xf>
    <xf numFmtId="176" fontId="10" fillId="0" borderId="0" xfId="1" quotePrefix="1" applyNumberFormat="1" applyFont="1" applyAlignment="1">
      <alignment horizontal="right" vertical="center"/>
    </xf>
    <xf numFmtId="178" fontId="8" fillId="0" borderId="6" xfId="1" applyNumberFormat="1" applyFont="1" applyBorder="1" applyAlignment="1">
      <alignment horizontal="right" vertical="center"/>
    </xf>
    <xf numFmtId="176" fontId="12" fillId="0" borderId="17" xfId="1" applyNumberFormat="1" applyFont="1" applyBorder="1" applyAlignment="1">
      <alignment horizontal="right" vertical="center"/>
    </xf>
    <xf numFmtId="176" fontId="12" fillId="0" borderId="6" xfId="1" applyNumberFormat="1" applyFont="1" applyBorder="1" applyAlignment="1">
      <alignment horizontal="right" vertical="center"/>
    </xf>
    <xf numFmtId="177" fontId="8" fillId="0" borderId="6" xfId="1" applyNumberFormat="1" applyFont="1" applyBorder="1" applyAlignment="1">
      <alignment horizontal="right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42334</xdr:colOff>
      <xdr:row>0</xdr:row>
      <xdr:rowOff>232834</xdr:rowOff>
    </xdr:from>
    <xdr:to>
      <xdr:col>3</xdr:col>
      <xdr:colOff>1320824</xdr:colOff>
      <xdr:row>0</xdr:row>
      <xdr:rowOff>690676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C8A7B801-0A51-4A98-B12E-63322EDDAD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8501" y="232834"/>
          <a:ext cx="4389990" cy="457842"/>
        </a:xfrm>
        <a:prstGeom prst="rect">
          <a:avLst/>
        </a:prstGeom>
      </xdr:spPr>
    </xdr:pic>
    <xdr:clientData/>
  </xdr:twoCellAnchor>
  <xdr:twoCellAnchor>
    <xdr:from>
      <xdr:col>4</xdr:col>
      <xdr:colOff>10584</xdr:colOff>
      <xdr:row>0</xdr:row>
      <xdr:rowOff>264585</xdr:rowOff>
    </xdr:from>
    <xdr:to>
      <xdr:col>9</xdr:col>
      <xdr:colOff>1778001</xdr:colOff>
      <xdr:row>0</xdr:row>
      <xdr:rowOff>709085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18C6290B-CF38-49C4-9C8F-0100CE38663D}"/>
            </a:ext>
          </a:extLst>
        </xdr:cNvPr>
        <xdr:cNvSpPr txBox="1"/>
      </xdr:nvSpPr>
      <xdr:spPr>
        <a:xfrm>
          <a:off x="6466417" y="264585"/>
          <a:ext cx="8773584" cy="444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600">
              <a:latin typeface="+mj-ea"/>
              <a:ea typeface="+mj-ea"/>
            </a:rPr>
            <a:t>분류 문제에서 정답이 아닌 곳</a:t>
          </a:r>
          <a:r>
            <a:rPr lang="en-US" altLang="ko-KR" sz="1600">
              <a:latin typeface="+mj-ea"/>
              <a:ea typeface="+mj-ea"/>
            </a:rPr>
            <a:t>(0)</a:t>
          </a:r>
          <a:r>
            <a:rPr lang="ko-KR" altLang="en-US" sz="1600">
              <a:latin typeface="+mj-ea"/>
              <a:ea typeface="+mj-ea"/>
            </a:rPr>
            <a:t>은 곱셈에 의해 모두 사라지고</a:t>
          </a:r>
          <a:r>
            <a:rPr lang="en-US" altLang="ko-KR" sz="1600">
              <a:latin typeface="+mj-ea"/>
              <a:ea typeface="+mj-ea"/>
            </a:rPr>
            <a:t>, </a:t>
          </a:r>
          <a:r>
            <a:rPr lang="ko-KR" altLang="en-US" sz="1600">
              <a:latin typeface="+mj-ea"/>
              <a:ea typeface="+mj-ea"/>
            </a:rPr>
            <a:t>정답인 위치의 확률값만 남는다</a:t>
          </a:r>
          <a:r>
            <a:rPr lang="en-US" altLang="ko-KR" sz="1600">
              <a:latin typeface="+mj-ea"/>
              <a:ea typeface="+mj-ea"/>
            </a:rPr>
            <a:t>.</a:t>
          </a:r>
          <a:endParaRPr lang="ko-KR" altLang="en-US" sz="1600">
            <a:latin typeface="+mj-ea"/>
            <a:ea typeface="+mj-ea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549797</xdr:colOff>
      <xdr:row>0</xdr:row>
      <xdr:rowOff>279724</xdr:rowOff>
    </xdr:from>
    <xdr:to>
      <xdr:col>6</xdr:col>
      <xdr:colOff>195323</xdr:colOff>
      <xdr:row>0</xdr:row>
      <xdr:rowOff>1124512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EAD74360-CCF4-B8C7-480C-D7341F47A0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3012" y="279724"/>
          <a:ext cx="3240913" cy="844788"/>
        </a:xfrm>
        <a:prstGeom prst="rect">
          <a:avLst/>
        </a:prstGeom>
      </xdr:spPr>
    </xdr:pic>
    <xdr:clientData/>
  </xdr:twoCellAnchor>
  <xdr:twoCellAnchor>
    <xdr:from>
      <xdr:col>6</xdr:col>
      <xdr:colOff>337595</xdr:colOff>
      <xdr:row>0</xdr:row>
      <xdr:rowOff>270076</xdr:rowOff>
    </xdr:from>
    <xdr:to>
      <xdr:col>13</xdr:col>
      <xdr:colOff>1388962</xdr:colOff>
      <xdr:row>0</xdr:row>
      <xdr:rowOff>1012785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8E955AD2-4468-98F7-1E62-C02720BF222F}"/>
            </a:ext>
          </a:extLst>
        </xdr:cNvPr>
        <xdr:cNvSpPr txBox="1"/>
      </xdr:nvSpPr>
      <xdr:spPr>
        <a:xfrm>
          <a:off x="5025342" y="270076"/>
          <a:ext cx="8410936" cy="7427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400">
              <a:latin typeface="+mj-ea"/>
              <a:ea typeface="+mj-ea"/>
            </a:rPr>
            <a:t>- </a:t>
          </a:r>
          <a:r>
            <a:rPr lang="ko-KR" altLang="en-US" sz="1400">
              <a:latin typeface="+mj-ea"/>
              <a:ea typeface="+mj-ea"/>
            </a:rPr>
            <a:t>분류 문제에서 정답이 아닌 곳</a:t>
          </a:r>
          <a:r>
            <a:rPr lang="en-US" altLang="ko-KR" sz="1400">
              <a:latin typeface="+mj-ea"/>
              <a:ea typeface="+mj-ea"/>
            </a:rPr>
            <a:t>(0)</a:t>
          </a:r>
          <a:r>
            <a:rPr lang="ko-KR" altLang="en-US" sz="1400">
              <a:latin typeface="+mj-ea"/>
              <a:ea typeface="+mj-ea"/>
            </a:rPr>
            <a:t>은 곱셈에 의해 모두 사라지고</a:t>
          </a:r>
          <a:r>
            <a:rPr lang="en-US" altLang="ko-KR" sz="1400">
              <a:latin typeface="+mj-ea"/>
              <a:ea typeface="+mj-ea"/>
            </a:rPr>
            <a:t>, </a:t>
          </a:r>
          <a:r>
            <a:rPr lang="ko-KR" altLang="en-US" sz="1400">
              <a:latin typeface="+mj-ea"/>
              <a:ea typeface="+mj-ea"/>
            </a:rPr>
            <a:t>정답인 위치의 확률값만 남는다</a:t>
          </a:r>
          <a:r>
            <a:rPr lang="en-US" altLang="ko-KR" sz="1400">
              <a:latin typeface="+mj-ea"/>
              <a:ea typeface="+mj-ea"/>
            </a:rPr>
            <a:t>. </a:t>
          </a:r>
        </a:p>
        <a:p>
          <a:r>
            <a:rPr lang="en-US" altLang="ko-KR" sz="1400">
              <a:latin typeface="+mj-ea"/>
              <a:ea typeface="+mj-ea"/>
            </a:rPr>
            <a:t>- Log-loss</a:t>
          </a:r>
          <a:r>
            <a:rPr lang="ko-KR" altLang="en-US" sz="1400">
              <a:latin typeface="+mj-ea"/>
              <a:ea typeface="+mj-ea"/>
            </a:rPr>
            <a:t>는 </a:t>
          </a:r>
          <a:r>
            <a:rPr lang="en-US" altLang="ko-KR" sz="1400">
              <a:latin typeface="+mj-ea"/>
              <a:ea typeface="+mj-ea"/>
            </a:rPr>
            <a:t>Cross-Entropy</a:t>
          </a:r>
          <a:r>
            <a:rPr lang="ko-KR" altLang="en-US" sz="1400">
              <a:latin typeface="+mj-ea"/>
              <a:ea typeface="+mj-ea"/>
            </a:rPr>
            <a:t>의 이진분류의 특수한 경우이다</a:t>
          </a:r>
          <a:r>
            <a:rPr lang="en-US" altLang="ko-KR" sz="1400">
              <a:latin typeface="+mj-ea"/>
              <a:ea typeface="+mj-ea"/>
            </a:rPr>
            <a:t>.</a:t>
          </a:r>
          <a:endParaRPr lang="ko-KR" altLang="en-US" sz="1400">
            <a:latin typeface="+mj-ea"/>
            <a:ea typeface="+mj-ea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25B93-1571-4EE0-ACC9-EC2D13F2737E}">
  <dimension ref="A1:J18"/>
  <sheetViews>
    <sheetView showGridLines="0" zoomScale="72" workbookViewId="0">
      <selection activeCell="E5" sqref="E5"/>
    </sheetView>
  </sheetViews>
  <sheetFormatPr defaultColWidth="15.25" defaultRowHeight="23.25" x14ac:dyDescent="0.3"/>
  <cols>
    <col min="1" max="1" width="25.25" style="2" customWidth="1"/>
    <col min="2" max="2" width="20.375" style="2" bestFit="1" customWidth="1"/>
    <col min="3" max="3" width="20.375" style="2" customWidth="1"/>
    <col min="4" max="4" width="18.625" style="2" customWidth="1"/>
    <col min="5" max="5" width="23.875" style="2" bestFit="1" customWidth="1"/>
    <col min="6" max="6" width="7" style="2" customWidth="1"/>
    <col min="7" max="7" width="21.5" style="2" bestFit="1" customWidth="1"/>
    <col min="8" max="8" width="21.5" style="2" customWidth="1"/>
    <col min="9" max="9" width="18" style="2" bestFit="1" customWidth="1"/>
    <col min="10" max="10" width="28.375" style="2" bestFit="1" customWidth="1"/>
    <col min="11" max="16384" width="15.25" style="2"/>
  </cols>
  <sheetData>
    <row r="1" spans="1:10" ht="78" customHeight="1" thickBot="1" x14ac:dyDescent="0.35">
      <c r="A1" s="1" t="s">
        <v>2</v>
      </c>
    </row>
    <row r="2" spans="1:10" ht="29.45" customHeight="1" thickBot="1" x14ac:dyDescent="0.35">
      <c r="B2" s="28" t="s">
        <v>4</v>
      </c>
      <c r="C2" s="29"/>
      <c r="D2" s="29"/>
      <c r="E2" s="30"/>
      <c r="F2" s="3"/>
      <c r="G2" s="28" t="s">
        <v>5</v>
      </c>
      <c r="H2" s="29"/>
      <c r="I2" s="29"/>
      <c r="J2" s="30"/>
    </row>
    <row r="3" spans="1:10" ht="24" thickBot="1" x14ac:dyDescent="0.35">
      <c r="A3" s="4" t="s">
        <v>9</v>
      </c>
      <c r="B3" s="3" t="s">
        <v>3</v>
      </c>
      <c r="C3" s="3" t="s">
        <v>8</v>
      </c>
      <c r="D3" s="3" t="s">
        <v>0</v>
      </c>
      <c r="E3" s="3" t="s">
        <v>1</v>
      </c>
      <c r="F3" s="3"/>
      <c r="G3" s="3" t="s">
        <v>3</v>
      </c>
      <c r="H3" s="3" t="s">
        <v>8</v>
      </c>
      <c r="I3" s="3" t="s">
        <v>0</v>
      </c>
      <c r="J3" s="3" t="s">
        <v>1</v>
      </c>
    </row>
    <row r="4" spans="1:10" ht="25.9" customHeight="1" thickTop="1" x14ac:dyDescent="0.3">
      <c r="A4" s="5">
        <f ca="1">RANDBETWEEN(0,1)</f>
        <v>1</v>
      </c>
      <c r="B4" s="3">
        <f ca="1">RAND()</f>
        <v>0.76972992195186574</v>
      </c>
      <c r="C4" s="6">
        <f ca="1">IF(B4&gt;= 0.5, TRUE, FALSE)*1</f>
        <v>1</v>
      </c>
      <c r="D4" s="7">
        <f ca="1">-A4*LN(B4)</f>
        <v>0.26171557637368875</v>
      </c>
      <c r="E4" s="7">
        <f ca="1">-(1-A4)*LN(1-B4)</f>
        <v>0</v>
      </c>
      <c r="F4" s="3"/>
      <c r="G4" s="3">
        <f ca="1">RAND()</f>
        <v>0.24170001993196877</v>
      </c>
      <c r="H4" s="6">
        <f ca="1">IF(G4&gt;= 0.5, TRUE, FALSE)*1</f>
        <v>0</v>
      </c>
      <c r="I4" s="7">
        <f ca="1">-A4*LN(G4)</f>
        <v>1.4200579088069656</v>
      </c>
      <c r="J4" s="7">
        <f ca="1">-(1-A4)*LN(1-G4)</f>
        <v>0</v>
      </c>
    </row>
    <row r="5" spans="1:10" ht="25.9" customHeight="1" x14ac:dyDescent="0.3">
      <c r="A5" s="6">
        <f t="shared" ref="A5:A13" ca="1" si="0">RANDBETWEEN(0,1)</f>
        <v>1</v>
      </c>
      <c r="B5" s="3">
        <f t="shared" ref="B5:B13" ca="1" si="1">RAND()</f>
        <v>0.60736590352902786</v>
      </c>
      <c r="C5" s="6">
        <f t="shared" ref="C5:C13" ca="1" si="2">IF(B5&gt;= 0.5, TRUE, FALSE)*1</f>
        <v>1</v>
      </c>
      <c r="D5" s="7">
        <f t="shared" ref="D5:D13" ca="1" si="3">-A5*LN(B5)</f>
        <v>0.49862386306461554</v>
      </c>
      <c r="E5" s="7">
        <f t="shared" ref="E5:E13" ca="1" si="4">-(1-A5)*LN(1-B5)</f>
        <v>0</v>
      </c>
      <c r="F5" s="3"/>
      <c r="G5" s="3">
        <f t="shared" ref="G5:G13" ca="1" si="5">RAND()</f>
        <v>0.51921259700989886</v>
      </c>
      <c r="H5" s="6">
        <f t="shared" ref="H5:H13" ca="1" si="6">IF(G5&gt;= 0.5, TRUE, FALSE)*1</f>
        <v>1</v>
      </c>
      <c r="I5" s="7">
        <f t="shared" ref="I5:I13" ca="1" si="7">-A5*LN(G5)</f>
        <v>0.65544185154086076</v>
      </c>
      <c r="J5" s="7">
        <f t="shared" ref="J5:J13" ca="1" si="8">-(1-A5)*LN(1-G5)</f>
        <v>0</v>
      </c>
    </row>
    <row r="6" spans="1:10" ht="25.9" customHeight="1" x14ac:dyDescent="0.3">
      <c r="A6" s="6">
        <f t="shared" ca="1" si="0"/>
        <v>0</v>
      </c>
      <c r="B6" s="3">
        <f t="shared" ca="1" si="1"/>
        <v>0.89791942085216414</v>
      </c>
      <c r="C6" s="6">
        <f t="shared" ca="1" si="2"/>
        <v>1</v>
      </c>
      <c r="D6" s="7">
        <f t="shared" ca="1" si="3"/>
        <v>0</v>
      </c>
      <c r="E6" s="7">
        <f t="shared" ca="1" si="4"/>
        <v>2.2819927859315725</v>
      </c>
      <c r="F6" s="3"/>
      <c r="G6" s="3">
        <f t="shared" ca="1" si="5"/>
        <v>0.79694884338737215</v>
      </c>
      <c r="H6" s="6">
        <f t="shared" ca="1" si="6"/>
        <v>1</v>
      </c>
      <c r="I6" s="7">
        <f t="shared" ca="1" si="7"/>
        <v>0</v>
      </c>
      <c r="J6" s="7">
        <f t="shared" ca="1" si="8"/>
        <v>1.5942973286699056</v>
      </c>
    </row>
    <row r="7" spans="1:10" ht="25.9" customHeight="1" x14ac:dyDescent="0.3">
      <c r="A7" s="6">
        <f t="shared" ca="1" si="0"/>
        <v>0</v>
      </c>
      <c r="B7" s="3">
        <f t="shared" ca="1" si="1"/>
        <v>0.90816692198839621</v>
      </c>
      <c r="C7" s="6">
        <f t="shared" ca="1" si="2"/>
        <v>1</v>
      </c>
      <c r="D7" s="7">
        <f t="shared" ca="1" si="3"/>
        <v>0</v>
      </c>
      <c r="E7" s="7">
        <f t="shared" ca="1" si="4"/>
        <v>2.3877827193340595</v>
      </c>
      <c r="F7" s="3"/>
      <c r="G7" s="3">
        <f t="shared" ca="1" si="5"/>
        <v>0.38227974158616829</v>
      </c>
      <c r="H7" s="6">
        <f t="shared" ca="1" si="6"/>
        <v>0</v>
      </c>
      <c r="I7" s="7">
        <f t="shared" ca="1" si="7"/>
        <v>0</v>
      </c>
      <c r="J7" s="7">
        <f t="shared" ca="1" si="8"/>
        <v>0.4817195802925287</v>
      </c>
    </row>
    <row r="8" spans="1:10" ht="25.9" customHeight="1" x14ac:dyDescent="0.3">
      <c r="A8" s="6">
        <f t="shared" ca="1" si="0"/>
        <v>0</v>
      </c>
      <c r="B8" s="3">
        <f t="shared" ca="1" si="1"/>
        <v>0.19324005868200278</v>
      </c>
      <c r="C8" s="6">
        <f t="shared" ca="1" si="2"/>
        <v>0</v>
      </c>
      <c r="D8" s="7">
        <f t="shared" ca="1" si="3"/>
        <v>0</v>
      </c>
      <c r="E8" s="7">
        <f t="shared" ca="1" si="4"/>
        <v>0.21472912545106254</v>
      </c>
      <c r="F8" s="3"/>
      <c r="G8" s="3">
        <f t="shared" ca="1" si="5"/>
        <v>0.49638673680030077</v>
      </c>
      <c r="H8" s="6">
        <f t="shared" ca="1" si="6"/>
        <v>0</v>
      </c>
      <c r="I8" s="7">
        <f t="shared" ca="1" si="7"/>
        <v>0</v>
      </c>
      <c r="J8" s="7">
        <f t="shared" ca="1" si="8"/>
        <v>0.68594664038413056</v>
      </c>
    </row>
    <row r="9" spans="1:10" ht="25.9" customHeight="1" x14ac:dyDescent="0.3">
      <c r="A9" s="6">
        <f t="shared" ca="1" si="0"/>
        <v>0</v>
      </c>
      <c r="B9" s="3">
        <f t="shared" ca="1" si="1"/>
        <v>0.18551853609768298</v>
      </c>
      <c r="C9" s="6">
        <f t="shared" ca="1" si="2"/>
        <v>0</v>
      </c>
      <c r="D9" s="7">
        <f t="shared" ca="1" si="3"/>
        <v>0</v>
      </c>
      <c r="E9" s="7">
        <f t="shared" ca="1" si="4"/>
        <v>0.20520360883887714</v>
      </c>
      <c r="F9" s="3"/>
      <c r="G9" s="3">
        <f t="shared" ca="1" si="5"/>
        <v>0.34768890914869133</v>
      </c>
      <c r="H9" s="6">
        <f t="shared" ca="1" si="6"/>
        <v>0</v>
      </c>
      <c r="I9" s="7">
        <f t="shared" ca="1" si="7"/>
        <v>0</v>
      </c>
      <c r="J9" s="7">
        <f t="shared" ca="1" si="8"/>
        <v>0.42723369763980984</v>
      </c>
    </row>
    <row r="10" spans="1:10" ht="25.9" customHeight="1" x14ac:dyDescent="0.3">
      <c r="A10" s="6">
        <f t="shared" ca="1" si="0"/>
        <v>1</v>
      </c>
      <c r="B10" s="3">
        <f t="shared" ca="1" si="1"/>
        <v>0.41813158635891701</v>
      </c>
      <c r="C10" s="6">
        <f t="shared" ca="1" si="2"/>
        <v>0</v>
      </c>
      <c r="D10" s="7">
        <f t="shared" ca="1" si="3"/>
        <v>0.87195909609475819</v>
      </c>
      <c r="E10" s="7">
        <f t="shared" ca="1" si="4"/>
        <v>0</v>
      </c>
      <c r="F10" s="3"/>
      <c r="G10" s="3">
        <f t="shared" ca="1" si="5"/>
        <v>0.57668228065123739</v>
      </c>
      <c r="H10" s="6">
        <f t="shared" ca="1" si="6"/>
        <v>1</v>
      </c>
      <c r="I10" s="7">
        <f t="shared" ca="1" si="7"/>
        <v>0.55046380425115571</v>
      </c>
      <c r="J10" s="7">
        <f t="shared" ca="1" si="8"/>
        <v>0</v>
      </c>
    </row>
    <row r="11" spans="1:10" ht="25.9" customHeight="1" x14ac:dyDescent="0.3">
      <c r="A11" s="6">
        <f t="shared" ca="1" si="0"/>
        <v>1</v>
      </c>
      <c r="B11" s="3">
        <f t="shared" ca="1" si="1"/>
        <v>0.77538668828217994</v>
      </c>
      <c r="C11" s="6">
        <f t="shared" ca="1" si="2"/>
        <v>1</v>
      </c>
      <c r="D11" s="7">
        <f t="shared" ca="1" si="3"/>
        <v>0.25439342144209209</v>
      </c>
      <c r="E11" s="7">
        <f t="shared" ca="1" si="4"/>
        <v>0</v>
      </c>
      <c r="F11" s="3"/>
      <c r="G11" s="3">
        <f t="shared" ca="1" si="5"/>
        <v>2.1822637643092668E-2</v>
      </c>
      <c r="H11" s="6">
        <f t="shared" ca="1" si="6"/>
        <v>0</v>
      </c>
      <c r="I11" s="7">
        <f t="shared" ca="1" si="7"/>
        <v>3.8248074239812517</v>
      </c>
      <c r="J11" s="7">
        <f t="shared" ca="1" si="8"/>
        <v>0</v>
      </c>
    </row>
    <row r="12" spans="1:10" ht="25.9" customHeight="1" x14ac:dyDescent="0.3">
      <c r="A12" s="6">
        <f t="shared" ca="1" si="0"/>
        <v>1</v>
      </c>
      <c r="B12" s="3">
        <f t="shared" ca="1" si="1"/>
        <v>0.83837880879690463</v>
      </c>
      <c r="C12" s="6">
        <f t="shared" ca="1" si="2"/>
        <v>1</v>
      </c>
      <c r="D12" s="7">
        <f t="shared" ca="1" si="3"/>
        <v>0.17628524150184768</v>
      </c>
      <c r="E12" s="7">
        <f t="shared" ca="1" si="4"/>
        <v>0</v>
      </c>
      <c r="F12" s="3"/>
      <c r="G12" s="3">
        <f t="shared" ca="1" si="5"/>
        <v>0.8192496773564284</v>
      </c>
      <c r="H12" s="6">
        <f t="shared" ca="1" si="6"/>
        <v>1</v>
      </c>
      <c r="I12" s="7">
        <f t="shared" ca="1" si="7"/>
        <v>0.1993663852312694</v>
      </c>
      <c r="J12" s="7">
        <f t="shared" ca="1" si="8"/>
        <v>0</v>
      </c>
    </row>
    <row r="13" spans="1:10" ht="25.9" customHeight="1" thickBot="1" x14ac:dyDescent="0.35">
      <c r="A13" s="8">
        <f t="shared" ca="1" si="0"/>
        <v>1</v>
      </c>
      <c r="B13" s="3">
        <f t="shared" ca="1" si="1"/>
        <v>0.69565027051868755</v>
      </c>
      <c r="C13" s="6">
        <f t="shared" ca="1" si="2"/>
        <v>1</v>
      </c>
      <c r="D13" s="7">
        <f t="shared" ca="1" si="3"/>
        <v>0.36290822982249832</v>
      </c>
      <c r="E13" s="7">
        <f t="shared" ca="1" si="4"/>
        <v>0</v>
      </c>
      <c r="F13" s="3"/>
      <c r="G13" s="3">
        <f t="shared" ca="1" si="5"/>
        <v>0.56672609553969122</v>
      </c>
      <c r="H13" s="6">
        <f t="shared" ca="1" si="6"/>
        <v>1</v>
      </c>
      <c r="I13" s="7">
        <f t="shared" ca="1" si="7"/>
        <v>0.5678791686230753</v>
      </c>
      <c r="J13" s="7">
        <f t="shared" ca="1" si="8"/>
        <v>0</v>
      </c>
    </row>
    <row r="14" spans="1:10" ht="25.9" customHeight="1" x14ac:dyDescent="0.3">
      <c r="B14" s="9" t="s">
        <v>6</v>
      </c>
      <c r="C14" s="10"/>
      <c r="D14" s="10">
        <f ca="1">SUM(D4:D13)</f>
        <v>2.4258854282995008</v>
      </c>
      <c r="E14" s="11">
        <f ca="1">SUM(E4:E13)</f>
        <v>5.0897082395555708</v>
      </c>
      <c r="I14" s="12">
        <f ca="1">SUM(I4:I13)</f>
        <v>7.2180165424345777</v>
      </c>
      <c r="J14" s="11">
        <f ca="1">SUM(J4:J13)</f>
        <v>3.1891972469863745</v>
      </c>
    </row>
    <row r="15" spans="1:10" ht="25.9" customHeight="1" thickBot="1" x14ac:dyDescent="0.35">
      <c r="B15" s="13" t="s">
        <v>7</v>
      </c>
      <c r="C15" s="14"/>
      <c r="D15" s="14"/>
      <c r="E15" s="15">
        <f ca="1">SUM(D14:E14)</f>
        <v>7.5155936678550717</v>
      </c>
      <c r="I15" s="16"/>
      <c r="J15" s="15">
        <f ca="1">SUM(I14:J14)</f>
        <v>10.407213789420952</v>
      </c>
    </row>
    <row r="17" spans="2:7" ht="34.9" customHeight="1" x14ac:dyDescent="0.3">
      <c r="E17" s="17" t="s">
        <v>10</v>
      </c>
      <c r="F17" s="17" t="str">
        <f ca="1">IF(E15&lt;= J15, "A", "B")</f>
        <v>A</v>
      </c>
      <c r="G17" s="18" t="s">
        <v>11</v>
      </c>
    </row>
    <row r="18" spans="2:7" x14ac:dyDescent="0.3">
      <c r="B18" s="2" t="s">
        <v>12</v>
      </c>
    </row>
  </sheetData>
  <mergeCells count="2">
    <mergeCell ref="B2:E2"/>
    <mergeCell ref="G2:J2"/>
  </mergeCells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8A13D-2AB3-48AA-B828-ABDC8857A8FC}">
  <dimension ref="A1:N18"/>
  <sheetViews>
    <sheetView showGridLines="0" tabSelected="1" topLeftCell="A2" zoomScale="79" workbookViewId="0">
      <selection activeCell="R10" sqref="R10"/>
    </sheetView>
  </sheetViews>
  <sheetFormatPr defaultColWidth="13.5" defaultRowHeight="18.75" x14ac:dyDescent="0.3"/>
  <cols>
    <col min="1" max="3" width="8.25" style="25" customWidth="1"/>
    <col min="4" max="4" width="14.625" style="25" customWidth="1"/>
    <col min="5" max="5" width="12.25" style="25" bestFit="1" customWidth="1"/>
    <col min="6" max="6" width="12.25" style="25" customWidth="1"/>
    <col min="7" max="8" width="13.375" style="25" customWidth="1"/>
    <col min="9" max="9" width="14" style="25" customWidth="1"/>
    <col min="10" max="10" width="15.25" style="25" customWidth="1"/>
    <col min="11" max="11" width="3.75" style="25" customWidth="1"/>
    <col min="12" max="12" width="16.375" style="25" bestFit="1" customWidth="1"/>
    <col min="13" max="13" width="19.125" style="25" customWidth="1"/>
    <col min="14" max="14" width="23.5" style="25" bestFit="1" customWidth="1"/>
    <col min="15" max="16384" width="13.5" style="25"/>
  </cols>
  <sheetData>
    <row r="1" spans="1:14" ht="97.9" customHeight="1" thickBot="1" x14ac:dyDescent="0.35">
      <c r="A1" s="19" t="s">
        <v>13</v>
      </c>
      <c r="B1" s="24"/>
      <c r="C1" s="24"/>
      <c r="L1" s="32"/>
    </row>
    <row r="2" spans="1:14" ht="29.45" customHeight="1" thickBot="1" x14ac:dyDescent="0.35">
      <c r="D2" s="49" t="s">
        <v>26</v>
      </c>
      <c r="E2" s="50"/>
      <c r="F2" s="51"/>
      <c r="G2" s="49" t="s">
        <v>18</v>
      </c>
      <c r="H2" s="50"/>
      <c r="I2" s="51"/>
      <c r="J2" s="56" t="s">
        <v>27</v>
      </c>
      <c r="L2" s="41" t="s">
        <v>19</v>
      </c>
      <c r="M2" s="42"/>
    </row>
    <row r="3" spans="1:14" s="20" customFormat="1" ht="31.15" customHeight="1" thickBot="1" x14ac:dyDescent="0.35">
      <c r="A3" s="31" t="s">
        <v>9</v>
      </c>
      <c r="B3" s="31"/>
      <c r="C3" s="31"/>
      <c r="D3" s="38" t="s">
        <v>23</v>
      </c>
      <c r="E3" s="39" t="s">
        <v>24</v>
      </c>
      <c r="F3" s="39" t="s">
        <v>25</v>
      </c>
      <c r="G3" s="52" t="s">
        <v>14</v>
      </c>
      <c r="H3" s="27" t="s">
        <v>15</v>
      </c>
      <c r="I3" s="53" t="s">
        <v>16</v>
      </c>
      <c r="J3" s="40" t="s">
        <v>17</v>
      </c>
      <c r="K3" s="40"/>
      <c r="L3" s="43" t="s">
        <v>21</v>
      </c>
      <c r="M3" s="44" t="s">
        <v>20</v>
      </c>
      <c r="N3" s="21"/>
    </row>
    <row r="4" spans="1:14" s="20" customFormat="1" ht="25.9" customHeight="1" x14ac:dyDescent="0.3">
      <c r="A4" s="22">
        <f ca="1">RANDBETWEEN(0,1)</f>
        <v>1</v>
      </c>
      <c r="B4" s="22">
        <f ca="1">IF(A4 &gt; 0, 0, RANDBETWEEN(0,1))</f>
        <v>0</v>
      </c>
      <c r="C4" s="22">
        <f ca="1">IF(SUM(A4:B4) &gt;0, 0, RANDBETWEEN(0,1))</f>
        <v>0</v>
      </c>
      <c r="D4" s="34">
        <f ca="1">RAND()</f>
        <v>0.26370820105935566</v>
      </c>
      <c r="E4" s="33">
        <f t="shared" ref="E4:F4" ca="1" si="0">RAND()</f>
        <v>0.72360090081097161</v>
      </c>
      <c r="F4" s="33">
        <f t="shared" ca="1" si="0"/>
        <v>0.1734885069573765</v>
      </c>
      <c r="G4" s="54">
        <f ca="1">EXP(D4)/SUM(EXP($D4)+EXP($E4)+EXP($F4))</f>
        <v>0.28590752288007315</v>
      </c>
      <c r="H4" s="21">
        <f t="shared" ref="H4:I4" ca="1" si="1">EXP(E4)/SUM(EXP($D4)+EXP($E4)+EXP($F4))</f>
        <v>0.45285007557594592</v>
      </c>
      <c r="I4" s="55">
        <f t="shared" ca="1" si="1"/>
        <v>0.26124240154398087</v>
      </c>
      <c r="J4" s="23">
        <f ca="1">SUM(G4:I4)</f>
        <v>1</v>
      </c>
      <c r="K4" s="23"/>
      <c r="L4" s="45">
        <f ca="1">-(A4*LN(G4) + B4*LN(H4) + C4*LN(I4))</f>
        <v>1.2520868670232301</v>
      </c>
      <c r="M4" s="46">
        <f ca="1">-SUMPRODUCT(A4:C4, LN(G4:I4))</f>
        <v>1.2520868670232301</v>
      </c>
      <c r="N4" s="23"/>
    </row>
    <row r="5" spans="1:14" s="20" customFormat="1" ht="25.9" customHeight="1" x14ac:dyDescent="0.3">
      <c r="A5" s="22">
        <f t="shared" ref="A5:A13" ca="1" si="2">RANDBETWEEN(0,1)</f>
        <v>1</v>
      </c>
      <c r="B5" s="22">
        <f t="shared" ref="B5:B13" ca="1" si="3">IF(A5 &gt; 0, 0, RANDBETWEEN(0,1))</f>
        <v>0</v>
      </c>
      <c r="C5" s="22">
        <f t="shared" ref="C5" ca="1" si="4">IF(SUM(A5:B5) &gt;0, 0, RANDBETWEEN(0,1))</f>
        <v>0</v>
      </c>
      <c r="D5" s="34">
        <f t="shared" ref="D5:F13" ca="1" si="5">RAND()</f>
        <v>0.23295965581404054</v>
      </c>
      <c r="E5" s="33">
        <f t="shared" ca="1" si="5"/>
        <v>0.37892674164166051</v>
      </c>
      <c r="F5" s="33">
        <f t="shared" ca="1" si="5"/>
        <v>0.95423402634406818</v>
      </c>
      <c r="G5" s="54">
        <f t="shared" ref="G5:G13" ca="1" si="6">EXP(D5)/SUM(EXP($D5)+EXP($E5)+EXP($F5))</f>
        <v>0.23729233748026804</v>
      </c>
      <c r="H5" s="21">
        <f t="shared" ref="H5:H13" ca="1" si="7">EXP(E5)/SUM(EXP($D5)+EXP($E5)+EXP($F5))</f>
        <v>0.27458475050728176</v>
      </c>
      <c r="I5" s="55">
        <f t="shared" ref="I5:I13" ca="1" si="8">EXP(F5)/SUM(EXP($D5)+EXP($E5)+EXP($F5))</f>
        <v>0.48812291201245017</v>
      </c>
      <c r="J5" s="23">
        <f t="shared" ref="J5:J13" ca="1" si="9">SUM(G5:I5)</f>
        <v>1</v>
      </c>
      <c r="K5" s="23"/>
      <c r="L5" s="45">
        <f t="shared" ref="L5:L13" ca="1" si="10">-(A5*LN(G5) + B5*LN(H5) + C5*LN(I5))</f>
        <v>1.4384624064946867</v>
      </c>
      <c r="M5" s="46" cm="1">
        <f t="array" aca="1" ref="M5" ca="1">-SUMPRODUCT(A5:C5, LN(G5:I5))</f>
        <v>1.4384624064946867</v>
      </c>
      <c r="N5" s="23"/>
    </row>
    <row r="6" spans="1:14" s="20" customFormat="1" ht="25.9" customHeight="1" x14ac:dyDescent="0.3">
      <c r="A6" s="22">
        <f t="shared" ca="1" si="2"/>
        <v>0</v>
      </c>
      <c r="B6" s="22">
        <v>1</v>
      </c>
      <c r="C6" s="22">
        <f t="shared" ref="C6:C13" ca="1" si="11">IF(SUM(A6:B6) &gt;0, 0, RANDBETWEEN(0,1))</f>
        <v>0</v>
      </c>
      <c r="D6" s="34">
        <f t="shared" ca="1" si="5"/>
        <v>8.8212247359789941E-2</v>
      </c>
      <c r="E6" s="33">
        <f t="shared" ca="1" si="5"/>
        <v>0.49330972604937418</v>
      </c>
      <c r="F6" s="33">
        <f t="shared" ca="1" si="5"/>
        <v>0.11205510872882707</v>
      </c>
      <c r="G6" s="54">
        <f t="shared" ca="1" si="6"/>
        <v>0.28380242777850251</v>
      </c>
      <c r="H6" s="21">
        <f t="shared" ca="1" si="7"/>
        <v>0.42554716924917452</v>
      </c>
      <c r="I6" s="55">
        <f t="shared" ca="1" si="8"/>
        <v>0.29065040297232297</v>
      </c>
      <c r="J6" s="23">
        <f t="shared" ca="1" si="9"/>
        <v>1</v>
      </c>
      <c r="K6" s="23"/>
      <c r="L6" s="45">
        <f t="shared" ca="1" si="10"/>
        <v>0.85437948106302219</v>
      </c>
      <c r="M6" s="46">
        <f t="shared" ref="M5:M13" ca="1" si="12">-SUMPRODUCT(A6:C6, LN(G6:I6))</f>
        <v>0.85437948106302219</v>
      </c>
      <c r="N6" s="23"/>
    </row>
    <row r="7" spans="1:14" s="20" customFormat="1" ht="25.9" customHeight="1" x14ac:dyDescent="0.3">
      <c r="A7" s="22">
        <f t="shared" ca="1" si="2"/>
        <v>1</v>
      </c>
      <c r="B7" s="22">
        <f t="shared" ca="1" si="3"/>
        <v>0</v>
      </c>
      <c r="C7" s="22">
        <f t="shared" ca="1" si="11"/>
        <v>0</v>
      </c>
      <c r="D7" s="34">
        <f t="shared" ca="1" si="5"/>
        <v>0.69314374736755779</v>
      </c>
      <c r="E7" s="33">
        <f t="shared" ca="1" si="5"/>
        <v>0.36835859047143671</v>
      </c>
      <c r="F7" s="33">
        <f t="shared" ca="1" si="5"/>
        <v>0.46819885636636416</v>
      </c>
      <c r="G7" s="54">
        <f t="shared" ca="1" si="6"/>
        <v>0.3966297850374364</v>
      </c>
      <c r="H7" s="21">
        <f t="shared" ca="1" si="7"/>
        <v>0.28663744442220174</v>
      </c>
      <c r="I7" s="55">
        <f t="shared" ca="1" si="8"/>
        <v>0.31673277054036175</v>
      </c>
      <c r="J7" s="23">
        <f t="shared" ca="1" si="9"/>
        <v>0.99999999999999989</v>
      </c>
      <c r="K7" s="23"/>
      <c r="L7" s="45">
        <f t="shared" ca="1" si="10"/>
        <v>0.92475196476469645</v>
      </c>
      <c r="M7" s="46">
        <f t="shared" ca="1" si="12"/>
        <v>0.92475196476469645</v>
      </c>
      <c r="N7" s="23"/>
    </row>
    <row r="8" spans="1:14" s="20" customFormat="1" ht="25.9" customHeight="1" x14ac:dyDescent="0.3">
      <c r="A8" s="22">
        <f t="shared" ca="1" si="2"/>
        <v>1</v>
      </c>
      <c r="B8" s="22">
        <f t="shared" ca="1" si="3"/>
        <v>0</v>
      </c>
      <c r="C8" s="22">
        <f t="shared" ca="1" si="11"/>
        <v>0</v>
      </c>
      <c r="D8" s="34">
        <f t="shared" ca="1" si="5"/>
        <v>0.67141135701926424</v>
      </c>
      <c r="E8" s="33">
        <f t="shared" ca="1" si="5"/>
        <v>0.35552649824381743</v>
      </c>
      <c r="F8" s="33">
        <f t="shared" ca="1" si="5"/>
        <v>7.0576734261572627E-3</v>
      </c>
      <c r="G8" s="54">
        <f t="shared" ca="1" si="6"/>
        <v>0.44568256678647616</v>
      </c>
      <c r="H8" s="21">
        <f t="shared" ca="1" si="7"/>
        <v>0.32496650197758076</v>
      </c>
      <c r="I8" s="55">
        <f t="shared" ca="1" si="8"/>
        <v>0.22935093123594297</v>
      </c>
      <c r="J8" s="23">
        <f t="shared" ca="1" si="9"/>
        <v>0.99999999999999989</v>
      </c>
      <c r="K8" s="23"/>
      <c r="L8" s="45">
        <f t="shared" ca="1" si="10"/>
        <v>0.80814831402732967</v>
      </c>
      <c r="M8" s="46">
        <f t="shared" ca="1" si="12"/>
        <v>0.80814831402732967</v>
      </c>
      <c r="N8" s="23"/>
    </row>
    <row r="9" spans="1:14" s="20" customFormat="1" ht="25.9" customHeight="1" x14ac:dyDescent="0.3">
      <c r="A9" s="22">
        <f t="shared" ca="1" si="2"/>
        <v>0</v>
      </c>
      <c r="B9" s="22">
        <f t="shared" ca="1" si="3"/>
        <v>0</v>
      </c>
      <c r="C9" s="22">
        <f t="shared" ca="1" si="11"/>
        <v>0</v>
      </c>
      <c r="D9" s="34">
        <f t="shared" ca="1" si="5"/>
        <v>0.37087044312104922</v>
      </c>
      <c r="E9" s="33">
        <f t="shared" ca="1" si="5"/>
        <v>0.23105443266629311</v>
      </c>
      <c r="F9" s="33">
        <f t="shared" ca="1" si="5"/>
        <v>0.60718202801777754</v>
      </c>
      <c r="G9" s="54">
        <f t="shared" ca="1" si="6"/>
        <v>0.31886869515729088</v>
      </c>
      <c r="H9" s="21">
        <f t="shared" ca="1" si="7"/>
        <v>0.27726213478728273</v>
      </c>
      <c r="I9" s="55">
        <f t="shared" ca="1" si="8"/>
        <v>0.40386917005542633</v>
      </c>
      <c r="J9" s="23">
        <f t="shared" ca="1" si="9"/>
        <v>0.99999999999999989</v>
      </c>
      <c r="K9" s="23"/>
      <c r="L9" s="45">
        <f t="shared" ca="1" si="10"/>
        <v>0</v>
      </c>
      <c r="M9" s="46">
        <f t="shared" ca="1" si="12"/>
        <v>0</v>
      </c>
      <c r="N9" s="23"/>
    </row>
    <row r="10" spans="1:14" s="20" customFormat="1" ht="25.9" customHeight="1" x14ac:dyDescent="0.3">
      <c r="A10" s="22">
        <f t="shared" ca="1" si="2"/>
        <v>0</v>
      </c>
      <c r="B10" s="22">
        <f t="shared" ca="1" si="3"/>
        <v>1</v>
      </c>
      <c r="C10" s="22">
        <f t="shared" ca="1" si="11"/>
        <v>0</v>
      </c>
      <c r="D10" s="34">
        <f t="shared" ca="1" si="5"/>
        <v>0.79724610632314408</v>
      </c>
      <c r="E10" s="33">
        <f t="shared" ca="1" si="5"/>
        <v>0.54104641844007917</v>
      </c>
      <c r="F10" s="33">
        <f t="shared" ca="1" si="5"/>
        <v>0.57305434397621857</v>
      </c>
      <c r="G10" s="54">
        <f t="shared" ca="1" si="6"/>
        <v>0.38862883410859561</v>
      </c>
      <c r="H10" s="21">
        <f t="shared" ca="1" si="7"/>
        <v>0.30079381988761822</v>
      </c>
      <c r="I10" s="55">
        <f t="shared" ca="1" si="8"/>
        <v>0.31057734600378623</v>
      </c>
      <c r="J10" s="23">
        <f t="shared" ca="1" si="9"/>
        <v>1</v>
      </c>
      <c r="K10" s="23"/>
      <c r="L10" s="45">
        <f t="shared" ca="1" si="10"/>
        <v>1.2013302327038913</v>
      </c>
      <c r="M10" s="46">
        <f t="shared" ca="1" si="12"/>
        <v>1.2013302327038913</v>
      </c>
      <c r="N10" s="23"/>
    </row>
    <row r="11" spans="1:14" s="20" customFormat="1" ht="25.9" customHeight="1" x14ac:dyDescent="0.3">
      <c r="A11" s="22">
        <f t="shared" ca="1" si="2"/>
        <v>0</v>
      </c>
      <c r="B11" s="22">
        <f t="shared" ca="1" si="3"/>
        <v>1</v>
      </c>
      <c r="C11" s="22">
        <f t="shared" ca="1" si="11"/>
        <v>0</v>
      </c>
      <c r="D11" s="34">
        <f t="shared" ca="1" si="5"/>
        <v>0.63648686212261152</v>
      </c>
      <c r="E11" s="33">
        <f t="shared" ca="1" si="5"/>
        <v>0.5622053096337265</v>
      </c>
      <c r="F11" s="33">
        <f t="shared" ca="1" si="5"/>
        <v>0.42492598511395163</v>
      </c>
      <c r="G11" s="54">
        <f t="shared" ca="1" si="6"/>
        <v>0.36526607841893649</v>
      </c>
      <c r="H11" s="21">
        <f t="shared" ca="1" si="7"/>
        <v>0.33911677513355587</v>
      </c>
      <c r="I11" s="55">
        <f t="shared" ca="1" si="8"/>
        <v>0.29561714644750769</v>
      </c>
      <c r="J11" s="23">
        <f t="shared" ca="1" si="9"/>
        <v>1</v>
      </c>
      <c r="K11" s="23"/>
      <c r="L11" s="45">
        <f t="shared" ca="1" si="10"/>
        <v>1.0814107614971376</v>
      </c>
      <c r="M11" s="46">
        <f t="shared" ca="1" si="12"/>
        <v>1.0814107614971376</v>
      </c>
      <c r="N11" s="23"/>
    </row>
    <row r="12" spans="1:14" s="20" customFormat="1" ht="25.9" customHeight="1" x14ac:dyDescent="0.3">
      <c r="A12" s="22">
        <f t="shared" ca="1" si="2"/>
        <v>0</v>
      </c>
      <c r="B12" s="22">
        <f t="shared" ca="1" si="3"/>
        <v>0</v>
      </c>
      <c r="C12" s="22">
        <f t="shared" ca="1" si="11"/>
        <v>1</v>
      </c>
      <c r="D12" s="34">
        <f t="shared" ca="1" si="5"/>
        <v>6.9600460890463123E-2</v>
      </c>
      <c r="E12" s="33">
        <f t="shared" ca="1" si="5"/>
        <v>0.97791275778413433</v>
      </c>
      <c r="F12" s="33">
        <f t="shared" ca="1" si="5"/>
        <v>0.96216835199930928</v>
      </c>
      <c r="G12" s="54">
        <f t="shared" ca="1" si="6"/>
        <v>0.1688754418996988</v>
      </c>
      <c r="H12" s="21">
        <f t="shared" ca="1" si="7"/>
        <v>0.41883360204919606</v>
      </c>
      <c r="I12" s="55">
        <f t="shared" ca="1" si="8"/>
        <v>0.41229095605110516</v>
      </c>
      <c r="J12" s="23">
        <f t="shared" ca="1" si="9"/>
        <v>1</v>
      </c>
      <c r="K12" s="23"/>
      <c r="L12" s="45">
        <f ca="1">-(A12*LN(G12) + B12*LN(H12) + C12*LN(I12))</f>
        <v>0.88602597486978585</v>
      </c>
      <c r="M12" s="46">
        <f t="shared" ca="1" si="12"/>
        <v>0.88602597486978585</v>
      </c>
      <c r="N12" s="23"/>
    </row>
    <row r="13" spans="1:14" s="20" customFormat="1" ht="25.9" customHeight="1" thickBot="1" x14ac:dyDescent="0.35">
      <c r="A13" s="57">
        <f t="shared" ca="1" si="2"/>
        <v>1</v>
      </c>
      <c r="B13" s="57">
        <f t="shared" ca="1" si="3"/>
        <v>0</v>
      </c>
      <c r="C13" s="57">
        <f t="shared" ca="1" si="11"/>
        <v>0</v>
      </c>
      <c r="D13" s="58">
        <f t="shared" ca="1" si="5"/>
        <v>4.3356945652884171E-2</v>
      </c>
      <c r="E13" s="59">
        <f t="shared" ca="1" si="5"/>
        <v>0.84732269731156495</v>
      </c>
      <c r="F13" s="59">
        <f t="shared" ca="1" si="5"/>
        <v>3.8453721185025769E-2</v>
      </c>
      <c r="G13" s="43">
        <f ca="1">EXP(D13)/SUM(EXP($D13)+EXP($E13)+EXP($F13))</f>
        <v>0.23643494844284083</v>
      </c>
      <c r="H13" s="40">
        <f t="shared" ca="1" si="7"/>
        <v>0.52828655923967394</v>
      </c>
      <c r="I13" s="44">
        <f t="shared" ca="1" si="8"/>
        <v>0.23527849231748535</v>
      </c>
      <c r="J13" s="60">
        <f t="shared" ca="1" si="9"/>
        <v>1.0000000000000002</v>
      </c>
      <c r="K13" s="60"/>
      <c r="L13" s="47">
        <f t="shared" ca="1" si="10"/>
        <v>1.4420821683242402</v>
      </c>
      <c r="M13" s="48">
        <f t="shared" ca="1" si="12"/>
        <v>1.4420821683242402</v>
      </c>
      <c r="N13" s="23"/>
    </row>
    <row r="14" spans="1:14" ht="32.25" customHeight="1" x14ac:dyDescent="0.3">
      <c r="J14" s="35"/>
      <c r="K14" s="36" t="s">
        <v>22</v>
      </c>
      <c r="L14" s="37">
        <f ca="1">SUM(L4:L13)</f>
        <v>9.8886781707680207</v>
      </c>
    </row>
    <row r="15" spans="1:14" ht="25.9" customHeight="1" x14ac:dyDescent="0.3">
      <c r="J15" s="26"/>
      <c r="K15" s="26"/>
      <c r="L15" s="26"/>
    </row>
    <row r="17" spans="4:4" ht="34.9" customHeight="1" x14ac:dyDescent="0.3"/>
    <row r="18" spans="4:4" x14ac:dyDescent="0.3">
      <c r="D18" s="25" t="s">
        <v>12</v>
      </c>
    </row>
  </sheetData>
  <mergeCells count="4">
    <mergeCell ref="A3:C3"/>
    <mergeCell ref="G2:I2"/>
    <mergeCell ref="L2:M2"/>
    <mergeCell ref="D2:F2"/>
  </mergeCells>
  <phoneticPr fontId="2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47C85F8-82B6-4CF3-80DF-E9F045118E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Log-Loss</vt:lpstr>
      <vt:lpstr>Cross-Entropy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Sanggoo Cho</dc:creator>
  <cp:lastModifiedBy>조상구</cp:lastModifiedBy>
  <dcterms:created xsi:type="dcterms:W3CDTF">2026-04-20T10:43:34Z</dcterms:created>
  <dcterms:modified xsi:type="dcterms:W3CDTF">2026-05-07T06:12:49Z</dcterms:modified>
</cp:coreProperties>
</file>