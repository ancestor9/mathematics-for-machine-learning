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"/>
    </mc:Choice>
  </mc:AlternateContent>
  <xr:revisionPtr revIDLastSave="0" documentId="13_ncr:1_{5459FB30-B7C6-4DFD-B210-AC480CCA29A2}" xr6:coauthVersionLast="47" xr6:coauthVersionMax="47" xr10:uidLastSave="{00000000-0000-0000-0000-000000000000}"/>
  <bookViews>
    <workbookView xWindow="-108" yWindow="-108" windowWidth="23256" windowHeight="12456" xr2:uid="{47BF2AA7-7375-4884-91DE-46AD98CD4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8" i="1"/>
  <c r="D19" i="1"/>
  <c r="F19" i="1" s="1"/>
  <c r="D18" i="1"/>
  <c r="F18" i="1" s="1"/>
  <c r="F20" i="1" s="1"/>
  <c r="G18" i="1" s="1"/>
  <c r="C19" i="1"/>
  <c r="C14" i="1"/>
  <c r="D12" i="1"/>
  <c r="C13" i="1"/>
  <c r="D13" i="1" s="1"/>
  <c r="G19" i="1" l="1"/>
  <c r="D11" i="1"/>
  <c r="D14" i="1" s="1"/>
</calcChain>
</file>

<file path=xl/sharedStrings.xml><?xml version="1.0" encoding="utf-8"?>
<sst xmlns="http://schemas.openxmlformats.org/spreadsheetml/2006/main" count="14" uniqueCount="12">
  <si>
    <t>총 사업자수</t>
    <phoneticPr fontId="2" type="noConversion"/>
  </si>
  <si>
    <t>금융업</t>
    <phoneticPr fontId="2" type="noConversion"/>
  </si>
  <si>
    <t>다른 업종</t>
    <phoneticPr fontId="2" type="noConversion"/>
  </si>
  <si>
    <t xml:space="preserve"> 총 사업자(넥타이 착용)</t>
    <phoneticPr fontId="2" type="noConversion"/>
  </si>
  <si>
    <t>사전확률</t>
    <phoneticPr fontId="2" type="noConversion"/>
  </si>
  <si>
    <t>사후확률_P(산업/넥타이)</t>
    <phoneticPr fontId="2" type="noConversion"/>
  </si>
  <si>
    <t>조건부확률_P(넥타이/산업)</t>
    <phoneticPr fontId="2" type="noConversion"/>
  </si>
  <si>
    <t>Prior</t>
    <phoneticPr fontId="2" type="noConversion"/>
  </si>
  <si>
    <t>Likelihood</t>
    <phoneticPr fontId="2" type="noConversion"/>
  </si>
  <si>
    <t>총 사업자 수</t>
    <phoneticPr fontId="2" type="noConversion"/>
  </si>
  <si>
    <t>계산 1</t>
    <phoneticPr fontId="2" type="noConversion"/>
  </si>
  <si>
    <t>계산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</si>
</sst>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0.0000000"/>
    <numFmt numFmtId="178" formatCode="0.000000"/>
    <numFmt numFmtId="185" formatCode="0.000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4"/>
      <color rgb="FF0070C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41" fontId="3" fillId="0" borderId="0" xfId="1" applyFont="1" applyAlignment="1">
      <alignment horizontal="right" vertical="center"/>
    </xf>
    <xf numFmtId="41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1" fontId="3" fillId="0" borderId="2" xfId="1" applyFont="1" applyBorder="1" applyAlignment="1">
      <alignment horizontal="right" vertical="center"/>
    </xf>
    <xf numFmtId="10" fontId="3" fillId="0" borderId="0" xfId="2" applyNumberFormat="1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1" fontId="4" fillId="0" borderId="2" xfId="1" applyFont="1" applyBorder="1" applyAlignment="1">
      <alignment horizontal="right" vertical="center"/>
    </xf>
    <xf numFmtId="41" fontId="4" fillId="0" borderId="0" xfId="1" applyFont="1" applyAlignment="1">
      <alignment horizontal="right" vertical="center"/>
    </xf>
    <xf numFmtId="9" fontId="4" fillId="0" borderId="0" xfId="0" applyNumberFormat="1" applyFont="1" applyAlignment="1">
      <alignment horizontal="left" vertical="center"/>
    </xf>
    <xf numFmtId="185" fontId="4" fillId="0" borderId="0" xfId="2" applyNumberFormat="1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right" vertical="center"/>
    </xf>
    <xf numFmtId="41" fontId="3" fillId="0" borderId="3" xfId="1" applyFont="1" applyBorder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7" fontId="3" fillId="2" borderId="0" xfId="0" applyNumberFormat="1" applyFont="1" applyFill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53340</xdr:rowOff>
    </xdr:from>
    <xdr:to>
      <xdr:col>6</xdr:col>
      <xdr:colOff>290397</xdr:colOff>
      <xdr:row>6</xdr:row>
      <xdr:rowOff>144927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0B05294-6E12-08EB-0B9A-30585DF8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53340"/>
          <a:ext cx="9655377" cy="1691787"/>
        </a:xfrm>
        <a:prstGeom prst="rect">
          <a:avLst/>
        </a:prstGeom>
      </xdr:spPr>
    </xdr:pic>
    <xdr:clientData/>
  </xdr:twoCellAnchor>
  <xdr:twoCellAnchor editAs="oneCell">
    <xdr:from>
      <xdr:col>4</xdr:col>
      <xdr:colOff>1021079</xdr:colOff>
      <xdr:row>10</xdr:row>
      <xdr:rowOff>228600</xdr:rowOff>
    </xdr:from>
    <xdr:to>
      <xdr:col>8</xdr:col>
      <xdr:colOff>30480</xdr:colOff>
      <xdr:row>14</xdr:row>
      <xdr:rowOff>172344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6ADD50B-6B81-8692-793F-3772238F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79" y="3009900"/>
          <a:ext cx="6149341" cy="1467744"/>
        </a:xfrm>
        <a:prstGeom prst="rect">
          <a:avLst/>
        </a:prstGeom>
      </xdr:spPr>
    </xdr:pic>
    <xdr:clientData/>
  </xdr:twoCellAnchor>
  <xdr:twoCellAnchor editAs="oneCell">
    <xdr:from>
      <xdr:col>4</xdr:col>
      <xdr:colOff>2346960</xdr:colOff>
      <xdr:row>20</xdr:row>
      <xdr:rowOff>68580</xdr:rowOff>
    </xdr:from>
    <xdr:to>
      <xdr:col>6</xdr:col>
      <xdr:colOff>274513</xdr:colOff>
      <xdr:row>22</xdr:row>
      <xdr:rowOff>129592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C0BBB1-56CC-09D4-94A7-F30C976A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67600" y="6758940"/>
          <a:ext cx="2232853" cy="594412"/>
        </a:xfrm>
        <a:prstGeom prst="rect">
          <a:avLst/>
        </a:prstGeom>
      </xdr:spPr>
    </xdr:pic>
    <xdr:clientData/>
  </xdr:twoCellAnchor>
  <xdr:twoCellAnchor editAs="oneCell">
    <xdr:from>
      <xdr:col>5</xdr:col>
      <xdr:colOff>198120</xdr:colOff>
      <xdr:row>15</xdr:row>
      <xdr:rowOff>121920</xdr:rowOff>
    </xdr:from>
    <xdr:to>
      <xdr:col>5</xdr:col>
      <xdr:colOff>1691769</xdr:colOff>
      <xdr:row>15</xdr:row>
      <xdr:rowOff>861124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4412FF9-DF1C-3B5C-DCB0-1C319026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800" y="4671060"/>
          <a:ext cx="1493649" cy="739204"/>
        </a:xfrm>
        <a:prstGeom prst="rect">
          <a:avLst/>
        </a:prstGeom>
      </xdr:spPr>
    </xdr:pic>
    <xdr:clientData/>
  </xdr:twoCellAnchor>
  <xdr:twoCellAnchor editAs="oneCell">
    <xdr:from>
      <xdr:col>6</xdr:col>
      <xdr:colOff>556260</xdr:colOff>
      <xdr:row>15</xdr:row>
      <xdr:rowOff>53340</xdr:rowOff>
    </xdr:from>
    <xdr:to>
      <xdr:col>6</xdr:col>
      <xdr:colOff>1585049</xdr:colOff>
      <xdr:row>15</xdr:row>
      <xdr:rowOff>906854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673E890-B34D-C63B-41F9-D9EC20B5A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62160" y="4602480"/>
          <a:ext cx="1028789" cy="853514"/>
        </a:xfrm>
        <a:prstGeom prst="rect">
          <a:avLst/>
        </a:prstGeom>
      </xdr:spPr>
    </xdr:pic>
    <xdr:clientData/>
  </xdr:twoCellAnchor>
  <xdr:twoCellAnchor editAs="oneCell">
    <xdr:from>
      <xdr:col>4</xdr:col>
      <xdr:colOff>1135380</xdr:colOff>
      <xdr:row>15</xdr:row>
      <xdr:rowOff>190500</xdr:rowOff>
    </xdr:from>
    <xdr:to>
      <xdr:col>4</xdr:col>
      <xdr:colOff>2087963</xdr:colOff>
      <xdr:row>15</xdr:row>
      <xdr:rowOff>899221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AEB1052-8255-3F1A-AC70-72CC1385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5980" y="4739640"/>
          <a:ext cx="952583" cy="708721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15</xdr:row>
      <xdr:rowOff>137160</xdr:rowOff>
    </xdr:from>
    <xdr:to>
      <xdr:col>3</xdr:col>
      <xdr:colOff>1112573</xdr:colOff>
      <xdr:row>15</xdr:row>
      <xdr:rowOff>838261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E9D3BA-213F-EFC7-6A77-E66921BF3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6240" y="4686300"/>
          <a:ext cx="617273" cy="701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1A41-DDD1-4B25-9A9A-016282001B42}">
  <dimension ref="A10:G23"/>
  <sheetViews>
    <sheetView showGridLines="0" tabSelected="1" topLeftCell="A10" workbookViewId="0">
      <selection activeCell="I15" sqref="I15"/>
    </sheetView>
  </sheetViews>
  <sheetFormatPr defaultRowHeight="21" x14ac:dyDescent="0.4"/>
  <cols>
    <col min="1" max="1" width="8.796875" style="1"/>
    <col min="2" max="2" width="14.09765625" style="1" bestFit="1" customWidth="1"/>
    <col min="3" max="3" width="25.796875" style="1" customWidth="1"/>
    <col min="4" max="4" width="18.5" style="1" customWidth="1"/>
    <col min="5" max="5" width="33.3984375" style="1" customWidth="1"/>
    <col min="6" max="6" width="23.09765625" style="1" customWidth="1"/>
    <col min="7" max="7" width="28.3984375" style="1" bestFit="1" customWidth="1"/>
    <col min="8" max="16384" width="8.796875" style="1"/>
  </cols>
  <sheetData>
    <row r="10" spans="1:7" ht="30" customHeight="1" x14ac:dyDescent="0.4">
      <c r="A10" s="19" t="s">
        <v>10</v>
      </c>
      <c r="B10" s="4"/>
      <c r="C10" s="4" t="s">
        <v>0</v>
      </c>
      <c r="D10" s="7" t="s">
        <v>3</v>
      </c>
      <c r="E10" s="4"/>
      <c r="F10" s="4"/>
      <c r="G10" s="4"/>
    </row>
    <row r="11" spans="1:7" ht="30" customHeight="1" x14ac:dyDescent="0.4">
      <c r="B11" s="2"/>
      <c r="C11" s="5">
        <v>6246489</v>
      </c>
      <c r="D11" s="8">
        <f>D12+D13</f>
        <v>986483.85</v>
      </c>
    </row>
    <row r="12" spans="1:7" ht="30" customHeight="1" x14ac:dyDescent="0.4">
      <c r="B12" s="2" t="s">
        <v>1</v>
      </c>
      <c r="C12" s="2">
        <v>66014</v>
      </c>
      <c r="D12" s="9">
        <f>C12*0.9</f>
        <v>59412.6</v>
      </c>
      <c r="E12" s="10">
        <v>0.9</v>
      </c>
      <c r="F12" s="3"/>
    </row>
    <row r="13" spans="1:7" ht="30" customHeight="1" x14ac:dyDescent="0.4">
      <c r="B13" s="2" t="s">
        <v>2</v>
      </c>
      <c r="C13" s="2">
        <f>C11-C12</f>
        <v>6180475</v>
      </c>
      <c r="D13" s="9">
        <f>C13*0.15</f>
        <v>927071.25</v>
      </c>
      <c r="E13" s="10">
        <v>0.15</v>
      </c>
    </row>
    <row r="14" spans="1:7" ht="30" customHeight="1" x14ac:dyDescent="0.4">
      <c r="C14" s="6">
        <f>C12/C11</f>
        <v>1.0568176778987365E-2</v>
      </c>
      <c r="D14" s="11">
        <f>D12/D11</f>
        <v>6.0226632194738922E-2</v>
      </c>
    </row>
    <row r="15" spans="1:7" ht="36" customHeight="1" x14ac:dyDescent="0.4">
      <c r="A15" s="19" t="s">
        <v>11</v>
      </c>
    </row>
    <row r="16" spans="1:7" ht="84.6" customHeight="1" x14ac:dyDescent="0.4">
      <c r="B16" s="4"/>
      <c r="C16" s="4"/>
      <c r="D16" s="18" t="s">
        <v>7</v>
      </c>
      <c r="E16" s="17" t="s">
        <v>8</v>
      </c>
      <c r="F16" s="12"/>
      <c r="G16" s="12"/>
    </row>
    <row r="17" spans="2:7" ht="34.200000000000003" customHeight="1" x14ac:dyDescent="0.4">
      <c r="B17" s="14" t="s">
        <v>9</v>
      </c>
      <c r="C17" s="14">
        <v>6246489</v>
      </c>
      <c r="D17" s="12" t="s">
        <v>4</v>
      </c>
      <c r="E17" s="12" t="s">
        <v>6</v>
      </c>
      <c r="F17" s="12"/>
      <c r="G17" s="12" t="s">
        <v>5</v>
      </c>
    </row>
    <row r="18" spans="2:7" ht="34.200000000000003" customHeight="1" x14ac:dyDescent="0.4">
      <c r="B18" s="2" t="s">
        <v>1</v>
      </c>
      <c r="C18" s="14">
        <v>66014</v>
      </c>
      <c r="D18" s="13">
        <f>C18/C17</f>
        <v>1.0568176778987365E-2</v>
      </c>
      <c r="E18" s="13">
        <f>E12</f>
        <v>0.9</v>
      </c>
      <c r="F18" s="15">
        <f>D18*E18</f>
        <v>9.5113591010886275E-3</v>
      </c>
      <c r="G18" s="13">
        <f>F18/F20</f>
        <v>6.0226632194738922E-2</v>
      </c>
    </row>
    <row r="19" spans="2:7" ht="34.200000000000003" customHeight="1" x14ac:dyDescent="0.4">
      <c r="B19" s="2" t="s">
        <v>2</v>
      </c>
      <c r="C19" s="14">
        <f>C17-C18</f>
        <v>6180475</v>
      </c>
      <c r="D19" s="13">
        <f>C19/C17</f>
        <v>0.98943182322101264</v>
      </c>
      <c r="E19" s="13">
        <f>E13</f>
        <v>0.15</v>
      </c>
      <c r="F19" s="15">
        <f>D19*E19</f>
        <v>0.14841477348315188</v>
      </c>
      <c r="G19" s="13">
        <f>F19/F20</f>
        <v>0.939773367805261</v>
      </c>
    </row>
    <row r="20" spans="2:7" ht="34.200000000000003" customHeight="1" x14ac:dyDescent="0.4">
      <c r="F20" s="16">
        <f>SUM(F18:F19)</f>
        <v>0.15792613258424051</v>
      </c>
    </row>
    <row r="23" spans="2:7" x14ac:dyDescent="0.4">
      <c r="B23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Sanggoo Cho</dc:creator>
  <cp:lastModifiedBy>Sanggoo Cho</cp:lastModifiedBy>
  <dcterms:created xsi:type="dcterms:W3CDTF">2026-03-27T10:46:02Z</dcterms:created>
  <dcterms:modified xsi:type="dcterms:W3CDTF">2026-03-27T15:41:37Z</dcterms:modified>
</cp:coreProperties>
</file>