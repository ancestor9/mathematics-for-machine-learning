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tatistics\"/>
    </mc:Choice>
  </mc:AlternateContent>
  <xr:revisionPtr revIDLastSave="0" documentId="13_ncr:1_{2412E6D8-E705-4436-B84F-462FF2BB0A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ash course" sheetId="1" r:id="rId1"/>
    <sheet name="random distributions" sheetId="35" r:id="rId2"/>
    <sheet name="covarianc_correlation" sheetId="2" r:id="rId3"/>
    <sheet name="linear regression" sheetId="3" r:id="rId4"/>
    <sheet name="__Solver__" sheetId="4" state="hidden" r:id="rId5"/>
    <sheet name="__Solver___conflict482289707" sheetId="5" state="hidden" r:id="rId6"/>
    <sheet name="simple linear regression" sheetId="6" r:id="rId7"/>
    <sheet name="bias_variance" sheetId="10" state="hidden" r:id="rId8"/>
    <sheet name="logistic function" sheetId="11" r:id="rId9"/>
    <sheet name="logistic regression" sheetId="12" r:id="rId10"/>
    <sheet name="loss function_logloss" sheetId="21" r:id="rId11"/>
    <sheet name="log loss plot" sheetId="28" r:id="rId12"/>
    <sheet name="odds" sheetId="33" r:id="rId13"/>
    <sheet name="log" sheetId="29" r:id="rId14"/>
    <sheet name="__OpenSolverCache__" sheetId="22" state="hidden" r:id="rId15"/>
    <sheet name="__OpenSolver__" sheetId="23" state="hidden" r:id="rId16"/>
  </sheets>
  <externalReferences>
    <externalReference r:id="rId17"/>
    <externalReference r:id="rId18"/>
    <externalReference r:id="rId19"/>
  </externalReferences>
  <definedNames>
    <definedName name="_xlnm._FilterDatabase" localSheetId="11" hidden="1">'log loss plot'!$I$4:$L$4</definedName>
    <definedName name="_xlchart.v1.0" hidden="1">'random distributions'!$G$1</definedName>
    <definedName name="_xlchart.v1.1" hidden="1">'random distributions'!$G$2:$G$31</definedName>
    <definedName name="_xlchart.v1.2" hidden="1">'random distributions'!$G$1</definedName>
    <definedName name="_xlchart.v1.3" hidden="1">'random distributions'!$G$2:$G$31</definedName>
    <definedName name="_xlchart.v1.4" hidden="1">'random distributions'!$F$1</definedName>
    <definedName name="_xlchart.v1.5" hidden="1">'random distributions'!$F$2:$F$31</definedName>
  </definedNames>
  <calcPr calcId="191029"/>
</workbook>
</file>

<file path=xl/calcChain.xml><?xml version="1.0" encoding="utf-8"?>
<calcChain xmlns="http://schemas.openxmlformats.org/spreadsheetml/2006/main">
  <c r="D3" i="35" l="1"/>
  <c r="D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2" i="35"/>
  <c r="C58" i="1"/>
  <c r="C3" i="35"/>
  <c r="C4" i="35"/>
  <c r="C5" i="35"/>
  <c r="C6" i="35"/>
  <c r="C7" i="35"/>
  <c r="C8" i="35"/>
  <c r="C9" i="35"/>
  <c r="C10" i="35"/>
  <c r="C11" i="35"/>
  <c r="C12" i="35"/>
  <c r="C13" i="35"/>
  <c r="C14" i="35"/>
  <c r="C15" i="35"/>
  <c r="C16" i="35"/>
  <c r="C17" i="35"/>
  <c r="C18" i="35"/>
  <c r="C19" i="35"/>
  <c r="C20" i="35"/>
  <c r="C21" i="35"/>
  <c r="C22" i="35"/>
  <c r="C23" i="35"/>
  <c r="C24" i="35"/>
  <c r="C25" i="35"/>
  <c r="C26" i="35"/>
  <c r="C27" i="35"/>
  <c r="C28" i="35"/>
  <c r="C29" i="35"/>
  <c r="C30" i="35"/>
  <c r="C31" i="35"/>
  <c r="C2" i="35"/>
  <c r="B3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2" i="35"/>
  <c r="A51" i="1"/>
  <c r="D54" i="1"/>
  <c r="B58" i="1"/>
  <c r="A59" i="1" s="1"/>
  <c r="A55" i="1"/>
  <c r="B46" i="1"/>
  <c r="A46" i="1"/>
  <c r="B7" i="3"/>
  <c r="C32" i="35" l="1"/>
  <c r="D32" i="35"/>
  <c r="D33" i="35"/>
  <c r="C33" i="35"/>
  <c r="B32" i="35"/>
  <c r="B33" i="35"/>
  <c r="G10" i="6"/>
  <c r="G4" i="6"/>
  <c r="C22" i="33"/>
  <c r="A22" i="33"/>
  <c r="B22" i="33" s="1"/>
  <c r="E22" i="33" s="1"/>
  <c r="F3" i="33"/>
  <c r="F4" i="33"/>
  <c r="F5" i="33"/>
  <c r="F6" i="33"/>
  <c r="F7" i="33"/>
  <c r="F8" i="33"/>
  <c r="F9" i="33"/>
  <c r="F10" i="33"/>
  <c r="F11" i="33"/>
  <c r="F12" i="33"/>
  <c r="F13" i="33"/>
  <c r="F14" i="33"/>
  <c r="F15" i="33"/>
  <c r="F16" i="33"/>
  <c r="F17" i="33"/>
  <c r="F18" i="33"/>
  <c r="F19" i="33"/>
  <c r="F20" i="33"/>
  <c r="F21" i="33"/>
  <c r="F2" i="33"/>
  <c r="E3" i="33"/>
  <c r="E4" i="33"/>
  <c r="E5" i="33"/>
  <c r="E6" i="33"/>
  <c r="E7" i="33"/>
  <c r="E8" i="33"/>
  <c r="E9" i="33"/>
  <c r="E10" i="33"/>
  <c r="E11" i="33"/>
  <c r="E12" i="33"/>
  <c r="E13" i="33"/>
  <c r="E14" i="33"/>
  <c r="E15" i="33"/>
  <c r="E16" i="33"/>
  <c r="E17" i="33"/>
  <c r="E18" i="33"/>
  <c r="E19" i="33"/>
  <c r="E20" i="33"/>
  <c r="E21" i="33"/>
  <c r="E2" i="33"/>
  <c r="B2" i="33"/>
  <c r="D2" i="33" s="1"/>
  <c r="A3" i="33"/>
  <c r="B3" i="33" s="1"/>
  <c r="D3" i="33" s="1"/>
  <c r="E5" i="12"/>
  <c r="F5" i="12"/>
  <c r="D5" i="12"/>
  <c r="F31" i="12"/>
  <c r="F32" i="12"/>
  <c r="F30" i="12"/>
  <c r="E6" i="12"/>
  <c r="F27" i="35" l="1"/>
  <c r="G23" i="35"/>
  <c r="F8" i="35"/>
  <c r="F11" i="35"/>
  <c r="F16" i="35"/>
  <c r="F24" i="35"/>
  <c r="F20" i="35"/>
  <c r="H14" i="35"/>
  <c r="F5" i="35"/>
  <c r="G31" i="35"/>
  <c r="F21" i="35"/>
  <c r="F6" i="35"/>
  <c r="F13" i="35"/>
  <c r="F14" i="35"/>
  <c r="F29" i="35"/>
  <c r="G28" i="35"/>
  <c r="G22" i="35"/>
  <c r="H6" i="35"/>
  <c r="H10" i="35"/>
  <c r="H18" i="35"/>
  <c r="H26" i="35"/>
  <c r="H8" i="35"/>
  <c r="H16" i="35"/>
  <c r="H24" i="35"/>
  <c r="H7" i="35"/>
  <c r="H15" i="35"/>
  <c r="H23" i="35"/>
  <c r="H31" i="35"/>
  <c r="H5" i="35"/>
  <c r="H9" i="35"/>
  <c r="H13" i="35"/>
  <c r="H17" i="35"/>
  <c r="H21" i="35"/>
  <c r="H25" i="35"/>
  <c r="H29" i="35"/>
  <c r="H3" i="35"/>
  <c r="H4" i="35"/>
  <c r="G30" i="35"/>
  <c r="H11" i="35"/>
  <c r="H20" i="35"/>
  <c r="G20" i="35"/>
  <c r="G14" i="35"/>
  <c r="G15" i="35"/>
  <c r="G3" i="35"/>
  <c r="G11" i="35"/>
  <c r="G19" i="35"/>
  <c r="G27" i="35"/>
  <c r="G8" i="35"/>
  <c r="G16" i="35"/>
  <c r="G24" i="35"/>
  <c r="G5" i="35"/>
  <c r="G9" i="35"/>
  <c r="G13" i="35"/>
  <c r="G17" i="35"/>
  <c r="G21" i="35"/>
  <c r="G25" i="35"/>
  <c r="H12" i="35"/>
  <c r="G2" i="35"/>
  <c r="H19" i="35"/>
  <c r="H2" i="35"/>
  <c r="H27" i="35"/>
  <c r="H28" i="35"/>
  <c r="H22" i="35"/>
  <c r="G10" i="35"/>
  <c r="F15" i="35"/>
  <c r="F31" i="35"/>
  <c r="G4" i="35"/>
  <c r="G29" i="35"/>
  <c r="H30" i="35"/>
  <c r="G18" i="35"/>
  <c r="F23" i="35"/>
  <c r="G12" i="35"/>
  <c r="G6" i="35"/>
  <c r="G7" i="35"/>
  <c r="G26" i="35"/>
  <c r="F22" i="35"/>
  <c r="F3" i="35"/>
  <c r="F2" i="35"/>
  <c r="F9" i="35"/>
  <c r="F17" i="35"/>
  <c r="F25" i="35"/>
  <c r="F10" i="35"/>
  <c r="F18" i="35"/>
  <c r="F26" i="35"/>
  <c r="F30" i="35"/>
  <c r="F19" i="35"/>
  <c r="F4" i="35"/>
  <c r="F7" i="35"/>
  <c r="F12" i="35"/>
  <c r="F28" i="35"/>
  <c r="D22" i="33"/>
  <c r="F22" i="33" s="1"/>
  <c r="C3" i="33"/>
  <c r="C2" i="33"/>
  <c r="A4" i="33"/>
  <c r="G32" i="35" l="1"/>
  <c r="G33" i="35"/>
  <c r="H33" i="35"/>
  <c r="H32" i="35"/>
  <c r="F33" i="35"/>
  <c r="F32" i="35"/>
  <c r="A5" i="33"/>
  <c r="B4" i="33"/>
  <c r="D4" i="33" s="1"/>
  <c r="B9" i="29"/>
  <c r="B10" i="29" s="1"/>
  <c r="B7" i="29"/>
  <c r="C6" i="29"/>
  <c r="C9" i="29" s="1"/>
  <c r="C10" i="29" s="1"/>
  <c r="B4" i="29"/>
  <c r="C3" i="29"/>
  <c r="E6" i="28"/>
  <c r="E10" i="28"/>
  <c r="E17" i="28"/>
  <c r="E11" i="28"/>
  <c r="E14" i="28"/>
  <c r="E12" i="28"/>
  <c r="E23" i="28"/>
  <c r="E21" i="28"/>
  <c r="E19" i="28"/>
  <c r="E5" i="28"/>
  <c r="E16" i="28"/>
  <c r="E15" i="28"/>
  <c r="E20" i="28"/>
  <c r="E24" i="28"/>
  <c r="E22" i="28"/>
  <c r="E18" i="28"/>
  <c r="E9" i="28"/>
  <c r="E8" i="28"/>
  <c r="E7" i="28"/>
  <c r="E13" i="28"/>
  <c r="D6" i="28"/>
  <c r="D10" i="28"/>
  <c r="D17" i="28"/>
  <c r="D11" i="28"/>
  <c r="D14" i="28"/>
  <c r="D12" i="28"/>
  <c r="D23" i="28"/>
  <c r="D21" i="28"/>
  <c r="D19" i="28"/>
  <c r="D5" i="28"/>
  <c r="D16" i="28"/>
  <c r="D15" i="28"/>
  <c r="D20" i="28"/>
  <c r="D24" i="28"/>
  <c r="D22" i="28"/>
  <c r="D18" i="28"/>
  <c r="D9" i="28"/>
  <c r="D8" i="28"/>
  <c r="D7" i="28"/>
  <c r="D13" i="28"/>
  <c r="E3" i="21"/>
  <c r="F3" i="21" s="1"/>
  <c r="E4" i="21"/>
  <c r="F4" i="21" s="1"/>
  <c r="E14" i="21"/>
  <c r="F14" i="21" s="1"/>
  <c r="E13" i="21"/>
  <c r="F13" i="21" s="1"/>
  <c r="E12" i="21"/>
  <c r="F12" i="21" s="1"/>
  <c r="E11" i="21"/>
  <c r="F11" i="21" s="1"/>
  <c r="E10" i="21"/>
  <c r="F10" i="21" s="1"/>
  <c r="E6" i="21"/>
  <c r="F6" i="21" s="1"/>
  <c r="E5" i="21"/>
  <c r="F5" i="21" s="1"/>
  <c r="A18" i="23"/>
  <c r="A17" i="23"/>
  <c r="A16" i="23"/>
  <c r="A15" i="23"/>
  <c r="A14" i="23"/>
  <c r="A13" i="23"/>
  <c r="B12" i="23"/>
  <c r="A12" i="23"/>
  <c r="B11" i="23"/>
  <c r="B10" i="23"/>
  <c r="A10" i="23"/>
  <c r="B9" i="23"/>
  <c r="A9" i="23"/>
  <c r="B8" i="23"/>
  <c r="B7" i="23"/>
  <c r="B6" i="23"/>
  <c r="A6" i="23"/>
  <c r="B5" i="23"/>
  <c r="A5" i="23"/>
  <c r="B4" i="23"/>
  <c r="A4" i="23"/>
  <c r="B3" i="23"/>
  <c r="A3" i="23"/>
  <c r="B2" i="23"/>
  <c r="A2" i="23"/>
  <c r="B1" i="23"/>
  <c r="A1" i="23"/>
  <c r="D6" i="12"/>
  <c r="D7" i="12" s="1"/>
  <c r="F8" i="12"/>
  <c r="E11" i="12"/>
  <c r="D14" i="11"/>
  <c r="C14" i="11"/>
  <c r="D13" i="11"/>
  <c r="C13" i="11"/>
  <c r="D12" i="11"/>
  <c r="C12" i="11"/>
  <c r="D11" i="11"/>
  <c r="C11" i="11"/>
  <c r="D10" i="11"/>
  <c r="C10" i="11"/>
  <c r="D9" i="11"/>
  <c r="C9" i="11"/>
  <c r="D8" i="11"/>
  <c r="C8" i="11"/>
  <c r="D7" i="11"/>
  <c r="C7" i="11"/>
  <c r="D6" i="11"/>
  <c r="C6" i="11"/>
  <c r="D5" i="11"/>
  <c r="C5" i="11"/>
  <c r="D4" i="11"/>
  <c r="C4" i="11"/>
  <c r="B3" i="10"/>
  <c r="C3" i="10" s="1"/>
  <c r="C2" i="10"/>
  <c r="A8" i="23"/>
  <c r="A7" i="23"/>
  <c r="A11" i="23"/>
  <c r="C9" i="6"/>
  <c r="F5" i="6" s="1"/>
  <c r="B9" i="6"/>
  <c r="D8" i="6" s="1"/>
  <c r="E8" i="6" s="1"/>
  <c r="B3" i="4"/>
  <c r="B2" i="4"/>
  <c r="D40" i="3"/>
  <c r="E40" i="3" s="1"/>
  <c r="B40" i="3"/>
  <c r="B39" i="3"/>
  <c r="D39" i="3" s="1"/>
  <c r="E39" i="3" s="1"/>
  <c r="B38" i="3"/>
  <c r="D38" i="3" s="1"/>
  <c r="E38" i="3" s="1"/>
  <c r="B37" i="3"/>
  <c r="D37" i="3" s="1"/>
  <c r="E37" i="3" s="1"/>
  <c r="B36" i="3"/>
  <c r="D36" i="3" s="1"/>
  <c r="E36" i="3" s="1"/>
  <c r="B35" i="3"/>
  <c r="D35" i="3" s="1"/>
  <c r="E35" i="3" s="1"/>
  <c r="B34" i="3"/>
  <c r="D34" i="3" s="1"/>
  <c r="E34" i="3" s="1"/>
  <c r="B33" i="3"/>
  <c r="D33" i="3" s="1"/>
  <c r="E33" i="3" s="1"/>
  <c r="B32" i="3"/>
  <c r="D32" i="3" s="1"/>
  <c r="E32" i="3" s="1"/>
  <c r="B31" i="3"/>
  <c r="D31" i="3" s="1"/>
  <c r="E31" i="3" s="1"/>
  <c r="B30" i="3"/>
  <c r="D30" i="3" s="1"/>
  <c r="E30" i="3" s="1"/>
  <c r="B29" i="3"/>
  <c r="B28" i="3"/>
  <c r="B27" i="3"/>
  <c r="B26" i="3"/>
  <c r="B25" i="3"/>
  <c r="D25" i="3" s="1"/>
  <c r="E25" i="3" s="1"/>
  <c r="B5" i="3"/>
  <c r="B6" i="3" s="1"/>
  <c r="B8" i="3" s="1"/>
  <c r="A5" i="3"/>
  <c r="C3" i="2"/>
  <c r="C4" i="2" s="1"/>
  <c r="C5" i="2" s="1"/>
  <c r="C6" i="2" s="1"/>
  <c r="B3" i="2"/>
  <c r="A40" i="1"/>
  <c r="A36" i="1"/>
  <c r="A31" i="1"/>
  <c r="A27" i="1"/>
  <c r="A17" i="1"/>
  <c r="C14" i="1"/>
  <c r="B14" i="1"/>
  <c r="A14" i="1"/>
  <c r="A11" i="1"/>
  <c r="A8" i="1"/>
  <c r="C4" i="33" l="1"/>
  <c r="A6" i="33"/>
  <c r="B5" i="33"/>
  <c r="D5" i="33" s="1"/>
  <c r="C4" i="29"/>
  <c r="D3" i="29"/>
  <c r="E3" i="29" s="1"/>
  <c r="D28" i="3"/>
  <c r="E28" i="3" s="1"/>
  <c r="F15" i="21"/>
  <c r="D6" i="29"/>
  <c r="D5" i="6"/>
  <c r="G5" i="6" s="1"/>
  <c r="F10" i="12"/>
  <c r="C7" i="29"/>
  <c r="D4" i="6"/>
  <c r="E4" i="6" s="1"/>
  <c r="D6" i="6"/>
  <c r="E6" i="6" s="1"/>
  <c r="F11" i="12"/>
  <c r="D7" i="6"/>
  <c r="E7" i="6" s="1"/>
  <c r="F12" i="12"/>
  <c r="F13" i="12"/>
  <c r="G16" i="28"/>
  <c r="G7" i="28"/>
  <c r="G17" i="28"/>
  <c r="G13" i="28"/>
  <c r="G15" i="28"/>
  <c r="G11" i="28"/>
  <c r="G8" i="28"/>
  <c r="G5" i="28"/>
  <c r="G10" i="28"/>
  <c r="G9" i="28"/>
  <c r="G19" i="28"/>
  <c r="G6" i="28"/>
  <c r="F14" i="28"/>
  <c r="F17" i="28"/>
  <c r="F19" i="28"/>
  <c r="F9" i="28"/>
  <c r="G21" i="28"/>
  <c r="G22" i="28"/>
  <c r="G23" i="28"/>
  <c r="G18" i="28"/>
  <c r="F6" i="28"/>
  <c r="F7" i="28"/>
  <c r="G24" i="28"/>
  <c r="G12" i="28"/>
  <c r="G20" i="28"/>
  <c r="G14" i="28"/>
  <c r="F15" i="28"/>
  <c r="F11" i="28"/>
  <c r="F16" i="28"/>
  <c r="F12" i="28"/>
  <c r="F20" i="28"/>
  <c r="F24" i="28"/>
  <c r="F10" i="28"/>
  <c r="F5" i="28"/>
  <c r="F8" i="28"/>
  <c r="F23" i="28"/>
  <c r="F22" i="28"/>
  <c r="F21" i="28"/>
  <c r="F18" i="28"/>
  <c r="F13" i="28"/>
  <c r="F4" i="6"/>
  <c r="B4" i="10"/>
  <c r="B5" i="10" s="1"/>
  <c r="B6" i="10" s="1"/>
  <c r="E14" i="12"/>
  <c r="E5" i="6"/>
  <c r="F8" i="6"/>
  <c r="G8" i="6" s="1"/>
  <c r="F6" i="6"/>
  <c r="F7" i="6"/>
  <c r="F15" i="12"/>
  <c r="F7" i="12"/>
  <c r="E2" i="21"/>
  <c r="D26" i="3"/>
  <c r="E26" i="3" s="1"/>
  <c r="D27" i="3"/>
  <c r="E27" i="3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D29" i="3"/>
  <c r="E29" i="3" s="1"/>
  <c r="C18" i="2"/>
  <c r="A6" i="3"/>
  <c r="A7" i="3" s="1"/>
  <c r="A8" i="3" s="1"/>
  <c r="A9" i="3" s="1"/>
  <c r="A10" i="3" s="1"/>
  <c r="A11" i="3" s="1"/>
  <c r="A12" i="3" s="1"/>
  <c r="A13" i="3" s="1"/>
  <c r="A14" i="3" s="1"/>
  <c r="A15" i="3" s="1"/>
  <c r="E9" i="12"/>
  <c r="E15" i="12"/>
  <c r="E7" i="12"/>
  <c r="E8" i="12"/>
  <c r="E13" i="12"/>
  <c r="D10" i="6"/>
  <c r="D8" i="12"/>
  <c r="E10" i="12"/>
  <c r="E12" i="12"/>
  <c r="F6" i="12"/>
  <c r="F14" i="12"/>
  <c r="G5" i="21"/>
  <c r="F9" i="12"/>
  <c r="C5" i="33" l="1"/>
  <c r="A7" i="33"/>
  <c r="B6" i="33"/>
  <c r="D6" i="33" s="1"/>
  <c r="D4" i="29"/>
  <c r="C5" i="10"/>
  <c r="C4" i="10"/>
  <c r="G7" i="6"/>
  <c r="F3" i="29"/>
  <c r="E4" i="29"/>
  <c r="E9" i="6"/>
  <c r="D9" i="6"/>
  <c r="G6" i="12"/>
  <c r="H6" i="12" s="1"/>
  <c r="F10" i="6"/>
  <c r="D9" i="29"/>
  <c r="D10" i="29" s="1"/>
  <c r="D7" i="29"/>
  <c r="E6" i="29"/>
  <c r="E41" i="3"/>
  <c r="E42" i="3" s="1"/>
  <c r="A2" i="4" s="1"/>
  <c r="C4" i="3"/>
  <c r="F2" i="21"/>
  <c r="F7" i="21" s="1"/>
  <c r="F9" i="6"/>
  <c r="G6" i="6"/>
  <c r="G7" i="12"/>
  <c r="I7" i="12" s="1"/>
  <c r="J7" i="12" s="1"/>
  <c r="E10" i="6"/>
  <c r="G2" i="21"/>
  <c r="B18" i="2"/>
  <c r="E3" i="2" s="1"/>
  <c r="I6" i="12"/>
  <c r="J6" i="12" s="1"/>
  <c r="G3" i="21"/>
  <c r="G6" i="21"/>
  <c r="G8" i="12"/>
  <c r="D9" i="12"/>
  <c r="B7" i="10"/>
  <c r="C6" i="10"/>
  <c r="E2" i="2"/>
  <c r="C6" i="33" l="1"/>
  <c r="A8" i="33"/>
  <c r="B7" i="33"/>
  <c r="D7" i="33" s="1"/>
  <c r="H5" i="6"/>
  <c r="I5" i="6" s="1"/>
  <c r="J7" i="6" s="1"/>
  <c r="K7" i="6" s="1"/>
  <c r="L7" i="6" s="1"/>
  <c r="M7" i="6" s="1"/>
  <c r="G3" i="29"/>
  <c r="F4" i="29"/>
  <c r="E9" i="29"/>
  <c r="E10" i="29" s="1"/>
  <c r="E7" i="29"/>
  <c r="F6" i="29"/>
  <c r="H7" i="12"/>
  <c r="B8" i="10"/>
  <c r="C7" i="10"/>
  <c r="G4" i="21"/>
  <c r="G9" i="12"/>
  <c r="D10" i="12"/>
  <c r="H8" i="12"/>
  <c r="I8" i="12"/>
  <c r="J8" i="12" s="1"/>
  <c r="J8" i="6" l="1"/>
  <c r="K8" i="6" s="1"/>
  <c r="L8" i="6" s="1"/>
  <c r="M8" i="6" s="1"/>
  <c r="J4" i="6"/>
  <c r="K4" i="6" s="1"/>
  <c r="L4" i="6" s="1"/>
  <c r="M4" i="6" s="1"/>
  <c r="J5" i="6"/>
  <c r="K5" i="6" s="1"/>
  <c r="L5" i="6" s="1"/>
  <c r="M5" i="6" s="1"/>
  <c r="J6" i="6"/>
  <c r="K6" i="6" s="1"/>
  <c r="L6" i="6" s="1"/>
  <c r="M6" i="6" s="1"/>
  <c r="C7" i="33"/>
  <c r="A9" i="33"/>
  <c r="B8" i="33"/>
  <c r="D8" i="33" s="1"/>
  <c r="H3" i="29"/>
  <c r="G4" i="29"/>
  <c r="F9" i="29"/>
  <c r="F10" i="29" s="1"/>
  <c r="F7" i="29"/>
  <c r="G6" i="29"/>
  <c r="L10" i="6"/>
  <c r="M9" i="6"/>
  <c r="B9" i="10"/>
  <c r="C8" i="10"/>
  <c r="G10" i="12"/>
  <c r="D11" i="12"/>
  <c r="I9" i="12"/>
  <c r="J9" i="12" s="1"/>
  <c r="H9" i="12"/>
  <c r="C8" i="33" l="1"/>
  <c r="A10" i="33"/>
  <c r="B9" i="33"/>
  <c r="D9" i="33" s="1"/>
  <c r="I3" i="29"/>
  <c r="H4" i="29"/>
  <c r="H6" i="29"/>
  <c r="G9" i="29"/>
  <c r="G10" i="29" s="1"/>
  <c r="G7" i="29"/>
  <c r="D12" i="12"/>
  <c r="G11" i="12"/>
  <c r="B10" i="10"/>
  <c r="C9" i="10"/>
  <c r="H10" i="12"/>
  <c r="I10" i="12"/>
  <c r="J10" i="12" s="1"/>
  <c r="C9" i="33" l="1"/>
  <c r="A11" i="33"/>
  <c r="B10" i="33"/>
  <c r="D10" i="33" s="1"/>
  <c r="J3" i="29"/>
  <c r="I4" i="29"/>
  <c r="H7" i="29"/>
  <c r="I6" i="29"/>
  <c r="H9" i="29"/>
  <c r="H10" i="29" s="1"/>
  <c r="B11" i="10"/>
  <c r="C10" i="10"/>
  <c r="I11" i="12"/>
  <c r="J11" i="12" s="1"/>
  <c r="H11" i="12"/>
  <c r="G12" i="12"/>
  <c r="D13" i="12"/>
  <c r="C10" i="33" l="1"/>
  <c r="A12" i="33"/>
  <c r="B11" i="33"/>
  <c r="D11" i="33" s="1"/>
  <c r="K3" i="29"/>
  <c r="J4" i="29"/>
  <c r="I9" i="29"/>
  <c r="I10" i="29" s="1"/>
  <c r="I7" i="29"/>
  <c r="J6" i="29"/>
  <c r="D14" i="12"/>
  <c r="G13" i="12"/>
  <c r="B12" i="10"/>
  <c r="C11" i="10"/>
  <c r="I12" i="12"/>
  <c r="J12" i="12" s="1"/>
  <c r="H12" i="12"/>
  <c r="C11" i="33" l="1"/>
  <c r="A13" i="33"/>
  <c r="B12" i="33"/>
  <c r="D12" i="33" s="1"/>
  <c r="L3" i="29"/>
  <c r="K4" i="29"/>
  <c r="J9" i="29"/>
  <c r="J10" i="29" s="1"/>
  <c r="J7" i="29"/>
  <c r="K6" i="29"/>
  <c r="L6" i="29" s="1"/>
  <c r="M6" i="29" s="1"/>
  <c r="N6" i="29" s="1"/>
  <c r="O6" i="29" s="1"/>
  <c r="I13" i="12"/>
  <c r="J13" i="12" s="1"/>
  <c r="H13" i="12"/>
  <c r="D15" i="12"/>
  <c r="G15" i="12" s="1"/>
  <c r="G14" i="12"/>
  <c r="B13" i="10"/>
  <c r="C12" i="10"/>
  <c r="C12" i="33" l="1"/>
  <c r="A14" i="33"/>
  <c r="B13" i="33"/>
  <c r="D13" i="33" s="1"/>
  <c r="M3" i="29"/>
  <c r="L4" i="29"/>
  <c r="I14" i="12"/>
  <c r="J14" i="12" s="1"/>
  <c r="H14" i="12"/>
  <c r="B14" i="10"/>
  <c r="C13" i="10"/>
  <c r="I15" i="12"/>
  <c r="J15" i="12" s="1"/>
  <c r="H15" i="12"/>
  <c r="C13" i="33" l="1"/>
  <c r="A15" i="33"/>
  <c r="B14" i="33"/>
  <c r="D14" i="33" s="1"/>
  <c r="N3" i="29"/>
  <c r="M4" i="29"/>
  <c r="B15" i="10"/>
  <c r="C14" i="10"/>
  <c r="H16" i="12"/>
  <c r="C14" i="33" l="1"/>
  <c r="A16" i="33"/>
  <c r="B15" i="33"/>
  <c r="D15" i="33" s="1"/>
  <c r="O3" i="29"/>
  <c r="N4" i="29"/>
  <c r="B16" i="10"/>
  <c r="C15" i="10"/>
  <c r="C15" i="33" l="1"/>
  <c r="A17" i="33"/>
  <c r="B16" i="33"/>
  <c r="D16" i="33" s="1"/>
  <c r="P3" i="29"/>
  <c r="O4" i="29"/>
  <c r="B17" i="10"/>
  <c r="C17" i="10" s="1"/>
  <c r="C16" i="10"/>
  <c r="C16" i="33" l="1"/>
  <c r="A18" i="33"/>
  <c r="B17" i="33"/>
  <c r="D17" i="33" s="1"/>
  <c r="Q3" i="29"/>
  <c r="P4" i="29"/>
  <c r="C17" i="33" l="1"/>
  <c r="A19" i="33"/>
  <c r="B18" i="33"/>
  <c r="D18" i="33" s="1"/>
  <c r="R3" i="29"/>
  <c r="Q4" i="29"/>
  <c r="C18" i="33" l="1"/>
  <c r="B19" i="33"/>
  <c r="D19" i="33" s="1"/>
  <c r="A20" i="33"/>
  <c r="S3" i="29"/>
  <c r="R4" i="29"/>
  <c r="C19" i="33" l="1"/>
  <c r="A21" i="33"/>
  <c r="B20" i="33"/>
  <c r="D20" i="33" s="1"/>
  <c r="S4" i="29"/>
  <c r="T3" i="29"/>
  <c r="T4" i="29" s="1"/>
  <c r="B21" i="33" l="1"/>
  <c r="D21" i="33" s="1"/>
  <c r="C21" i="33"/>
  <c r="C20" i="33"/>
</calcChain>
</file>

<file path=xl/sharedStrings.xml><?xml version="1.0" encoding="utf-8"?>
<sst xmlns="http://schemas.openxmlformats.org/spreadsheetml/2006/main" count="201" uniqueCount="165">
  <si>
    <t>Spreadsheet Crash Course</t>
  </si>
  <si>
    <t>Arithmetic</t>
  </si>
  <si>
    <t>Equals</t>
  </si>
  <si>
    <t>Sum</t>
  </si>
  <si>
    <t>Count</t>
  </si>
  <si>
    <t>Square</t>
  </si>
  <si>
    <t>Log base 2</t>
  </si>
  <si>
    <t>Square Root</t>
  </si>
  <si>
    <t>EXP</t>
  </si>
  <si>
    <t>LN</t>
  </si>
  <si>
    <t>PI</t>
  </si>
  <si>
    <t>Statistical Summaries</t>
  </si>
  <si>
    <t>Mean</t>
  </si>
  <si>
    <t>Standard Deviation</t>
  </si>
  <si>
    <t>Correlation</t>
  </si>
  <si>
    <t>Mode</t>
  </si>
  <si>
    <t>Flow Control</t>
  </si>
  <si>
    <t>Height (cm)</t>
  </si>
  <si>
    <t>Weight (kg)</t>
  </si>
  <si>
    <t>covariance</t>
  </si>
  <si>
    <t>correlation</t>
  </si>
  <si>
    <t>Height vs Weight Example</t>
  </si>
  <si>
    <t>https://www.youtube.com/watch?v=yZXNS5AxmIY</t>
  </si>
  <si>
    <t>Pearson
correlation
coefficient</t>
  </si>
  <si>
    <t>https://en.wikipedia.org/wiki/Linear_regression</t>
  </si>
  <si>
    <t>B0</t>
  </si>
  <si>
    <t>B1</t>
  </si>
  <si>
    <t>Parameters</t>
  </si>
  <si>
    <t>Hyperparameter tuning manually</t>
  </si>
  <si>
    <t>Predicted Weight</t>
  </si>
  <si>
    <t>Error</t>
  </si>
  <si>
    <t>SQRE(Error)</t>
  </si>
  <si>
    <t>Sum of SQRE(Error)</t>
  </si>
  <si>
    <t>Mean Sqare Erroe</t>
  </si>
  <si>
    <t>Opimization</t>
  </si>
  <si>
    <t>2023831693808432834</t>
  </si>
  <si>
    <t>l095YhDku0CHgYD</t>
  </si>
  <si>
    <t>K2J+</t>
  </si>
  <si>
    <t/>
  </si>
  <si>
    <t>2023831693808424968</t>
  </si>
  <si>
    <t>vrHqkqvFv0HrA0v</t>
  </si>
  <si>
    <t>MSAP</t>
  </si>
  <si>
    <t>Simple Linear Regression</t>
  </si>
  <si>
    <t>Dataset</t>
  </si>
  <si>
    <t>mean centering</t>
  </si>
  <si>
    <t>ERROR</t>
  </si>
  <si>
    <t>Root Meansquared error</t>
  </si>
  <si>
    <t>x</t>
  </si>
  <si>
    <t>y</t>
  </si>
  <si>
    <t>x - mean(x)</t>
  </si>
  <si>
    <t>sqare(x - mean(x))</t>
  </si>
  <si>
    <t>y - mean(y)</t>
  </si>
  <si>
    <t>covarianc(x, y)</t>
  </si>
  <si>
    <t>b1</t>
  </si>
  <si>
    <t>b0</t>
  </si>
  <si>
    <t>Predicted Y</t>
  </si>
  <si>
    <t>Predicted Y - y</t>
  </si>
  <si>
    <t>squared error</t>
  </si>
  <si>
    <t>RMSE</t>
  </si>
  <si>
    <t>mean</t>
  </si>
  <si>
    <t>sum</t>
  </si>
  <si>
    <t>X1</t>
  </si>
  <si>
    <t>X2</t>
  </si>
  <si>
    <t>X</t>
  </si>
  <si>
    <t>Y</t>
  </si>
  <si>
    <t>Extensions Tab</t>
  </si>
  <si>
    <t>에서 linear regression구글링</t>
  </si>
  <si>
    <t>단순선형회귀식</t>
  </si>
  <si>
    <t>XLMminer Analysis ToolPak</t>
  </si>
  <si>
    <t>그림그리기</t>
  </si>
  <si>
    <t>Charts, Graphs, &amp; Visualization</t>
  </si>
  <si>
    <t>Logistic Function</t>
  </si>
  <si>
    <t>Input</t>
  </si>
  <si>
    <t>Logistic</t>
  </si>
  <si>
    <t>Derivative</t>
  </si>
  <si>
    <t>Logistic Regression with Stochastic Gradient Descent</t>
  </si>
  <si>
    <t>B2</t>
  </si>
  <si>
    <t>Positive일 확률</t>
  </si>
  <si>
    <t>P(Y=Positive)</t>
  </si>
  <si>
    <t>Log Loss</t>
  </si>
  <si>
    <t>Predcit Y</t>
  </si>
  <si>
    <t>Accuracy</t>
  </si>
  <si>
    <t>Minimize</t>
  </si>
  <si>
    <t>SUMMARY OUTPUT</t>
  </si>
  <si>
    <t>Regression Statistics</t>
  </si>
  <si>
    <t>Chi Square</t>
  </si>
  <si>
    <t>Residual Dev.</t>
  </si>
  <si>
    <t># of iterations</t>
  </si>
  <si>
    <t>Observations</t>
  </si>
  <si>
    <t>Coefficients</t>
  </si>
  <si>
    <t>Standard Error</t>
  </si>
  <si>
    <t>P-value</t>
  </si>
  <si>
    <t>Odd Ratio</t>
  </si>
  <si>
    <t>Lower 95%</t>
  </si>
  <si>
    <t>Upper 95%</t>
  </si>
  <si>
    <t>Intercept</t>
  </si>
  <si>
    <t>infinity</t>
  </si>
  <si>
    <t>Brier score</t>
  </si>
  <si>
    <t>1(Positive)로 예측하는 확률</t>
  </si>
  <si>
    <t>A, B 알고리즘의 손실함수(log loss, brier score)를 비교 평가하여 비교 우위를 갖는 알고리즘을 선택하라</t>
  </si>
  <si>
    <t>#ERROR!</t>
  </si>
  <si>
    <t>spam</t>
    <phoneticPr fontId="26" type="noConversion"/>
  </si>
  <si>
    <t>ham</t>
    <phoneticPr fontId="26" type="noConversion"/>
  </si>
  <si>
    <t>P(y=0)</t>
    <phoneticPr fontId="26" type="noConversion"/>
  </si>
  <si>
    <t>Model A</t>
    <phoneticPr fontId="26" type="noConversion"/>
  </si>
  <si>
    <t>Model B</t>
    <phoneticPr fontId="26" type="noConversion"/>
  </si>
  <si>
    <r>
      <rPr>
        <sz val="10"/>
        <color theme="1"/>
        <rFont val="맑은 고딕"/>
        <family val="3"/>
        <charset val="129"/>
      </rPr>
      <t xml:space="preserve">ham </t>
    </r>
    <r>
      <rPr>
        <sz val="10"/>
        <color theme="1"/>
        <rFont val="Arial"/>
        <family val="3"/>
      </rPr>
      <t>or spam</t>
    </r>
    <phoneticPr fontId="26" type="noConversion"/>
  </si>
  <si>
    <t>log loss</t>
    <phoneticPr fontId="26" type="noConversion"/>
  </si>
  <si>
    <t>P(Y = 1)</t>
    <phoneticPr fontId="26" type="noConversion"/>
  </si>
  <si>
    <t>수치형으로 변환</t>
    <phoneticPr fontId="26" type="noConversion"/>
  </si>
  <si>
    <t>y</t>
    <phoneticPr fontId="34" type="noConversion"/>
  </si>
  <si>
    <t>p</t>
    <phoneticPr fontId="34" type="noConversion"/>
  </si>
  <si>
    <t>01</t>
    <phoneticPr fontId="34" type="noConversion"/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</si>
  <si>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</si>
  <si>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</si>
  <si>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</si>
  <si>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</si>
  <si>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</si>
  <si>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</si>
  <si>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</si>
  <si>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</si>
  <si>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</si>
  <si>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</si>
  <si>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</si>
  <si>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</si>
  <si>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</si>
  <si>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</si>
  <si>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</si>
  <si>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</si>
  <si>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</si>
  <si>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</si>
  <si>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</si>
  <si>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ID</t>
    <phoneticPr fontId="34" type="noConversion"/>
  </si>
  <si>
    <t>y*log(p)</t>
  </si>
  <si>
    <t>y*log(p)</t>
    <phoneticPr fontId="34" type="noConversion"/>
  </si>
  <si>
    <t>(1-y)*log(1-p)</t>
  </si>
  <si>
    <t>(1-y)*log(1-p)</t>
    <phoneticPr fontId="34" type="noConversion"/>
  </si>
  <si>
    <t>p</t>
  </si>
  <si>
    <t>log(x)</t>
    <phoneticPr fontId="26" type="noConversion"/>
  </si>
  <si>
    <t>x1</t>
    <phoneticPr fontId="26" type="noConversion"/>
  </si>
  <si>
    <t>x2</t>
    <phoneticPr fontId="26" type="noConversion"/>
  </si>
  <si>
    <t>1/X2</t>
    <phoneticPr fontId="26" type="noConversion"/>
  </si>
  <si>
    <t>Height (cm)</t>
    <phoneticPr fontId="26" type="noConversion"/>
  </si>
  <si>
    <t>log10(x2), LN(Odds ratio)</t>
    <phoneticPr fontId="26" type="noConversion"/>
  </si>
  <si>
    <t>log10(1/x2), LN(1/Odds ratio)</t>
    <phoneticPr fontId="26" type="noConversion"/>
  </si>
  <si>
    <t>P(A)</t>
    <phoneticPr fontId="26" type="noConversion"/>
  </si>
  <si>
    <t>1-P(A)</t>
    <phoneticPr fontId="26" type="noConversion"/>
  </si>
  <si>
    <t>logit(A)</t>
    <phoneticPr fontId="26" type="noConversion"/>
  </si>
  <si>
    <t>odds ratio(A)</t>
    <phoneticPr fontId="26" type="noConversion"/>
  </si>
  <si>
    <t>odd ratio(B)</t>
    <phoneticPr fontId="26" type="noConversion"/>
  </si>
  <si>
    <t>logit(B)</t>
    <phoneticPr fontId="26" type="noConversion"/>
  </si>
  <si>
    <t>IF, AND</t>
    <phoneticPr fontId="26" type="noConversion"/>
  </si>
  <si>
    <t>Binomial</t>
    <phoneticPr fontId="26" type="noConversion"/>
  </si>
  <si>
    <t>Parameters</t>
    <phoneticPr fontId="26" type="noConversion"/>
  </si>
  <si>
    <r>
      <t xml:space="preserve">0~1 </t>
    </r>
    <r>
      <rPr>
        <sz val="10"/>
        <color theme="1"/>
        <rFont val="Arial"/>
        <family val="2"/>
        <charset val="129"/>
      </rPr>
      <t>구간</t>
    </r>
    <phoneticPr fontId="26" type="noConversion"/>
  </si>
  <si>
    <r>
      <t xml:space="preserve">1~10 </t>
    </r>
    <r>
      <rPr>
        <sz val="10"/>
        <color theme="1"/>
        <rFont val="Arial"/>
        <family val="2"/>
        <charset val="129"/>
      </rPr>
      <t>구간</t>
    </r>
    <phoneticPr fontId="26" type="noConversion"/>
  </si>
  <si>
    <t>Uniform</t>
    <phoneticPr fontId="26" type="noConversion"/>
  </si>
  <si>
    <t>Gaussian</t>
    <phoneticPr fontId="26" type="noConversion"/>
  </si>
  <si>
    <t>Random Numbers</t>
    <phoneticPr fontId="26" type="noConversion"/>
  </si>
  <si>
    <t>Bernoulli</t>
    <phoneticPr fontId="26" type="noConversion"/>
  </si>
  <si>
    <t>mean</t>
    <phoneticPr fontId="26" type="noConversion"/>
  </si>
  <si>
    <t>std</t>
    <phoneticPr fontId="26" type="noConversion"/>
  </si>
  <si>
    <t>trilas</t>
    <phoneticPr fontId="26" type="noConversion"/>
  </si>
  <si>
    <t>success rate</t>
    <phoneticPr fontId="26" type="noConversion"/>
  </si>
  <si>
    <t>Binomial Distribution by claude LLM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</si>
</sst>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176" formatCode="0.0000"/>
    <numFmt numFmtId="177" formatCode="0.000"/>
    <numFmt numFmtId="178" formatCode="0.0000000"/>
    <numFmt numFmtId="179" formatCode="0.00000"/>
    <numFmt numFmtId="181" formatCode="_-* #,##0.00_-;\-* #,##0.00_-;_-* &quot;-&quot;_-;_-@_-"/>
    <numFmt numFmtId="182" formatCode="#,##0_ ;[Red]\-#,##0\ "/>
    <numFmt numFmtId="183" formatCode="_-* #,##0.0_-;\-* #,##0.0_-;_-* &quot;-&quot;_-;_-@_-"/>
    <numFmt numFmtId="185" formatCode="_-* #,##0.000_-;\-* #,##0.000_-;_-* &quot;-&quot;_-;_-@_-"/>
    <numFmt numFmtId="186" formatCode="_-* #,##0.0000_-;\-* #,##0.0000_-;_-* &quot;-&quot;_-;_-@_-"/>
    <numFmt numFmtId="187" formatCode="_-* #,##0.00000_-;\-* #,##0.00000_-;_-* &quot;-&quot;_-;_-@_-"/>
    <numFmt numFmtId="188" formatCode="_-* #,##0.000000_-;\-* #,##0.000000_-;_-* &quot;-&quot;_-;_-@_-"/>
    <numFmt numFmtId="189" formatCode="_-* #,##0.0000000_-;\-* #,##0.0000000_-;_-* &quot;-&quot;_-;_-@_-"/>
    <numFmt numFmtId="190" formatCode="_-* #,##0.00000000_-;\-* #,##0.00000000_-;_-* &quot;-&quot;_-;_-@_-"/>
    <numFmt numFmtId="196" formatCode="#,##0_ "/>
  </numFmts>
  <fonts count="46">
    <font>
      <sz val="10"/>
      <color rgb="FF000000"/>
      <name val="Arial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  <font>
      <u/>
      <sz val="10"/>
      <color rgb="FF0000FF"/>
      <name val="Verdana"/>
      <family val="2"/>
    </font>
    <font>
      <b/>
      <sz val="10"/>
      <color rgb="FF000000"/>
      <name val="Verdana"/>
      <family val="2"/>
    </font>
    <font>
      <sz val="10"/>
      <color rgb="FFFF0000"/>
      <name val="Verdana"/>
      <family val="2"/>
    </font>
    <font>
      <b/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9"/>
      <color theme="1"/>
      <name val="Verdana"/>
      <family val="2"/>
    </font>
    <font>
      <b/>
      <sz val="9"/>
      <color rgb="FF000000"/>
      <name val="Verdana"/>
      <family val="2"/>
    </font>
    <font>
      <sz val="9"/>
      <color theme="1"/>
      <name val="Arial"/>
      <family val="2"/>
      <scheme val="minor"/>
    </font>
    <font>
      <b/>
      <sz val="10"/>
      <color rgb="FFFFFFFF"/>
      <name val="Verdana"/>
      <family val="2"/>
    </font>
    <font>
      <b/>
      <sz val="10"/>
      <color theme="1"/>
      <name val="Arial"/>
      <family val="2"/>
      <scheme val="minor"/>
    </font>
    <font>
      <sz val="10"/>
      <color rgb="FF000000"/>
      <name val="Verdana"/>
      <family val="2"/>
    </font>
    <font>
      <u/>
      <sz val="10"/>
      <color rgb="FF0000FF"/>
      <name val="Arial"/>
      <family val="2"/>
    </font>
    <font>
      <b/>
      <sz val="10"/>
      <color rgb="FFFF0000"/>
      <name val="Verdana"/>
      <family val="2"/>
    </font>
    <font>
      <b/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FFFF00"/>
      <name val="Arial"/>
      <family val="2"/>
      <scheme val="minor"/>
    </font>
    <font>
      <b/>
      <sz val="12"/>
      <color rgb="FFFF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0"/>
      <color rgb="FF0000FF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0000FF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Arial"/>
      <family val="3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  <charset val="129"/>
    </font>
    <font>
      <sz val="10"/>
      <color theme="1"/>
      <name val="Arial Unicode MS"/>
      <family val="3"/>
      <charset val="129"/>
    </font>
    <font>
      <sz val="10"/>
      <name val="Arial"/>
      <family val="2"/>
      <scheme val="minor"/>
    </font>
    <font>
      <b/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charset val="129"/>
      <scheme val="minor"/>
    </font>
    <font>
      <sz val="16"/>
      <color rgb="FF000000"/>
      <name val="Arial"/>
      <family val="2"/>
      <scheme val="minor"/>
    </font>
    <font>
      <sz val="16"/>
      <color rgb="FF000000"/>
      <name val="Arial"/>
      <family val="3"/>
      <charset val="129"/>
      <scheme val="minor"/>
    </font>
    <font>
      <sz val="12"/>
      <color rgb="FF000000"/>
      <name val="Arial"/>
      <family val="2"/>
      <scheme val="minor"/>
    </font>
    <font>
      <sz val="10"/>
      <color theme="1"/>
      <name val="맑은 고딕"/>
      <family val="2"/>
      <charset val="129"/>
    </font>
    <font>
      <sz val="10"/>
      <color rgb="FF000000"/>
      <name val="맑은 고딕"/>
      <family val="2"/>
      <charset val="129"/>
    </font>
    <font>
      <sz val="10"/>
      <color theme="1"/>
      <name val="Arial"/>
      <family val="2"/>
      <charset val="129"/>
    </font>
    <font>
      <b/>
      <sz val="12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0"/>
      <color theme="0"/>
      <name val="Verdana"/>
      <family val="2"/>
    </font>
    <font>
      <sz val="10"/>
      <color theme="0"/>
      <name val="Arial"/>
      <family val="2"/>
      <scheme val="minor"/>
    </font>
    <font>
      <u/>
      <sz val="10"/>
      <color theme="1"/>
      <name val="Verdana"/>
      <family val="2"/>
    </font>
  </fonts>
  <fills count="21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FF0000"/>
        <bgColor rgb="FFFF00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FE5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1" fontId="33" fillId="0" borderId="0" applyFont="0" applyFill="0" applyBorder="0" applyAlignment="0" applyProtection="0">
      <alignment vertical="center"/>
    </xf>
  </cellStyleXfs>
  <cellXfs count="15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3" fillId="0" borderId="0" xfId="0" applyFont="1"/>
    <xf numFmtId="0" fontId="1" fillId="0" borderId="1" xfId="0" applyFont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Alignment="1">
      <alignment horizontal="center"/>
    </xf>
    <xf numFmtId="0" fontId="5" fillId="2" borderId="0" xfId="0" applyFont="1" applyFill="1" applyAlignment="1">
      <alignment horizontal="right"/>
    </xf>
    <xf numFmtId="0" fontId="2" fillId="0" borderId="1" xfId="0" applyFont="1" applyBorder="1"/>
    <xf numFmtId="0" fontId="6" fillId="0" borderId="1" xfId="0" applyFont="1" applyBorder="1" applyAlignment="1">
      <alignment horizontal="right"/>
    </xf>
    <xf numFmtId="0" fontId="6" fillId="3" borderId="0" xfId="0" applyFont="1" applyFill="1" applyAlignment="1">
      <alignment horizontal="right"/>
    </xf>
    <xf numFmtId="0" fontId="2" fillId="0" borderId="1" xfId="0" applyFont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7" fillId="4" borderId="0" xfId="0" applyFont="1" applyFill="1"/>
    <xf numFmtId="0" fontId="3" fillId="0" borderId="0" xfId="0" quotePrefix="1" applyFont="1"/>
    <xf numFmtId="0" fontId="8" fillId="3" borderId="0" xfId="0" applyFont="1" applyFill="1"/>
    <xf numFmtId="0" fontId="9" fillId="3" borderId="0" xfId="0" applyFont="1" applyFill="1"/>
    <xf numFmtId="0" fontId="9" fillId="0" borderId="0" xfId="0" applyFont="1"/>
    <xf numFmtId="0" fontId="10" fillId="0" borderId="0" xfId="0" applyFont="1" applyAlignment="1">
      <alignment horizontal="right"/>
    </xf>
    <xf numFmtId="0" fontId="10" fillId="5" borderId="1" xfId="0" applyFont="1" applyFill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1" fillId="3" borderId="1" xfId="0" applyFont="1" applyFill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2" fillId="0" borderId="0" xfId="0" applyFont="1"/>
    <xf numFmtId="0" fontId="2" fillId="5" borderId="0" xfId="0" applyFont="1" applyFill="1" applyAlignment="1">
      <alignment horizontal="right"/>
    </xf>
    <xf numFmtId="0" fontId="13" fillId="6" borderId="0" xfId="0" applyFont="1" applyFill="1"/>
    <xf numFmtId="0" fontId="7" fillId="6" borderId="0" xfId="0" applyFont="1" applyFill="1"/>
    <xf numFmtId="0" fontId="2" fillId="5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9" fillId="3" borderId="1" xfId="0" applyFont="1" applyFill="1" applyBorder="1"/>
    <xf numFmtId="0" fontId="2" fillId="3" borderId="0" xfId="0" applyFont="1" applyFill="1"/>
    <xf numFmtId="0" fontId="6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/>
    <xf numFmtId="2" fontId="3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178" fontId="2" fillId="0" borderId="0" xfId="0" applyNumberFormat="1" applyFont="1" applyAlignment="1">
      <alignment horizontal="right"/>
    </xf>
    <xf numFmtId="0" fontId="16" fillId="0" borderId="0" xfId="0" applyFont="1"/>
    <xf numFmtId="0" fontId="3" fillId="0" borderId="0" xfId="0" applyFont="1" applyAlignment="1">
      <alignment horizontal="center"/>
    </xf>
    <xf numFmtId="0" fontId="3" fillId="9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176" fontId="18" fillId="2" borderId="3" xfId="0" applyNumberFormat="1" applyFont="1" applyFill="1" applyBorder="1" applyAlignment="1">
      <alignment horizontal="center"/>
    </xf>
    <xf numFmtId="176" fontId="18" fillId="2" borderId="4" xfId="0" applyNumberFormat="1" applyFont="1" applyFill="1" applyBorder="1" applyAlignment="1">
      <alignment horizontal="center"/>
    </xf>
    <xf numFmtId="176" fontId="18" fillId="2" borderId="5" xfId="0" applyNumberFormat="1" applyFont="1" applyFill="1" applyBorder="1" applyAlignment="1">
      <alignment horizontal="center"/>
    </xf>
    <xf numFmtId="0" fontId="19" fillId="9" borderId="2" xfId="0" applyFont="1" applyFill="1" applyBorder="1" applyAlignment="1">
      <alignment horizontal="center"/>
    </xf>
    <xf numFmtId="0" fontId="20" fillId="7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176" fontId="6" fillId="0" borderId="6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19" fillId="9" borderId="6" xfId="0" applyNumberFormat="1" applyFont="1" applyFill="1" applyBorder="1" applyAlignment="1">
      <alignment horizontal="center"/>
    </xf>
    <xf numFmtId="176" fontId="20" fillId="7" borderId="0" xfId="0" applyNumberFormat="1" applyFont="1" applyFill="1" applyAlignment="1">
      <alignment horizontal="center"/>
    </xf>
    <xf numFmtId="177" fontId="3" fillId="0" borderId="0" xfId="0" applyNumberFormat="1" applyFont="1" applyAlignment="1">
      <alignment horizontal="center"/>
    </xf>
    <xf numFmtId="176" fontId="6" fillId="0" borderId="7" xfId="0" applyNumberFormat="1" applyFont="1" applyBorder="1" applyAlignment="1">
      <alignment horizontal="center"/>
    </xf>
    <xf numFmtId="176" fontId="19" fillId="9" borderId="7" xfId="0" applyNumberFormat="1" applyFont="1" applyFill="1" applyBorder="1" applyAlignment="1">
      <alignment horizontal="center"/>
    </xf>
    <xf numFmtId="176" fontId="21" fillId="0" borderId="3" xfId="0" applyNumberFormat="1" applyFont="1" applyBorder="1" applyAlignment="1">
      <alignment horizontal="center"/>
    </xf>
    <xf numFmtId="0" fontId="22" fillId="0" borderId="5" xfId="0" applyFont="1" applyBorder="1"/>
    <xf numFmtId="2" fontId="3" fillId="13" borderId="0" xfId="0" quotePrefix="1" applyNumberFormat="1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2" fontId="25" fillId="12" borderId="0" xfId="0" applyNumberFormat="1" applyFont="1" applyFill="1" applyAlignment="1">
      <alignment horizontal="center"/>
    </xf>
    <xf numFmtId="179" fontId="19" fillId="15" borderId="0" xfId="0" applyNumberFormat="1" applyFont="1" applyFill="1" applyAlignment="1">
      <alignment horizontal="center"/>
    </xf>
    <xf numFmtId="0" fontId="3" fillId="8" borderId="9" xfId="0" applyFont="1" applyFill="1" applyBorder="1" applyAlignment="1">
      <alignment horizontal="center"/>
    </xf>
    <xf numFmtId="0" fontId="29" fillId="8" borderId="10" xfId="0" applyFont="1" applyFill="1" applyBorder="1" applyAlignment="1">
      <alignment horizontal="center"/>
    </xf>
    <xf numFmtId="0" fontId="30" fillId="8" borderId="10" xfId="0" applyFont="1" applyFill="1" applyBorder="1" applyAlignment="1">
      <alignment horizontal="center"/>
    </xf>
    <xf numFmtId="0" fontId="23" fillId="12" borderId="12" xfId="0" applyFont="1" applyFill="1" applyBorder="1" applyAlignment="1">
      <alignment horizontal="center"/>
    </xf>
    <xf numFmtId="0" fontId="24" fillId="14" borderId="11" xfId="0" applyFont="1" applyFill="1" applyBorder="1" applyAlignment="1">
      <alignment horizontal="center"/>
    </xf>
    <xf numFmtId="0" fontId="31" fillId="8" borderId="11" xfId="0" applyFont="1" applyFill="1" applyBorder="1" applyAlignment="1">
      <alignment horizontal="center"/>
    </xf>
    <xf numFmtId="0" fontId="32" fillId="10" borderId="12" xfId="0" applyFont="1" applyFill="1" applyBorder="1" applyAlignment="1">
      <alignment horizontal="center"/>
    </xf>
    <xf numFmtId="2" fontId="31" fillId="0" borderId="0" xfId="0" applyNumberFormat="1" applyFont="1" applyAlignment="1">
      <alignment horizontal="center"/>
    </xf>
    <xf numFmtId="2" fontId="31" fillId="10" borderId="0" xfId="0" applyNumberFormat="1" applyFont="1" applyFill="1" applyAlignment="1">
      <alignment horizontal="center"/>
    </xf>
    <xf numFmtId="0" fontId="31" fillId="0" borderId="0" xfId="0" applyFont="1" applyAlignment="1">
      <alignment horizontal="center"/>
    </xf>
    <xf numFmtId="0" fontId="31" fillId="0" borderId="0" xfId="0" quotePrefix="1" applyFont="1" applyAlignment="1">
      <alignment horizontal="center"/>
    </xf>
    <xf numFmtId="0" fontId="31" fillId="11" borderId="0" xfId="0" quotePrefix="1" applyFont="1" applyFill="1" applyAlignment="1">
      <alignment horizontal="center"/>
    </xf>
    <xf numFmtId="0" fontId="31" fillId="0" borderId="0" xfId="0" applyFont="1"/>
    <xf numFmtId="2" fontId="25" fillId="12" borderId="12" xfId="0" applyNumberFormat="1" applyFont="1" applyFill="1" applyBorder="1" applyAlignment="1">
      <alignment horizontal="center"/>
    </xf>
    <xf numFmtId="179" fontId="19" fillId="15" borderId="12" xfId="0" applyNumberFormat="1" applyFont="1" applyFill="1" applyBorder="1" applyAlignment="1">
      <alignment horizontal="center"/>
    </xf>
    <xf numFmtId="0" fontId="3" fillId="15" borderId="12" xfId="0" applyFont="1" applyFill="1" applyBorder="1" applyAlignment="1">
      <alignment horizontal="center"/>
    </xf>
    <xf numFmtId="182" fontId="35" fillId="0" borderId="0" xfId="1" applyNumberFormat="1" applyFont="1" applyAlignment="1">
      <alignment horizontal="center" vertical="center"/>
    </xf>
    <xf numFmtId="181" fontId="35" fillId="0" borderId="0" xfId="1" applyNumberFormat="1" applyFont="1" applyAlignment="1">
      <alignment horizontal="center" vertical="center"/>
    </xf>
    <xf numFmtId="182" fontId="35" fillId="0" borderId="0" xfId="1" quotePrefix="1" applyNumberFormat="1" applyFont="1" applyAlignment="1">
      <alignment horizontal="center" vertical="center"/>
    </xf>
    <xf numFmtId="182" fontId="36" fillId="0" borderId="0" xfId="1" applyNumberFormat="1" applyFont="1" applyAlignment="1">
      <alignment horizontal="center" vertical="center"/>
    </xf>
    <xf numFmtId="181" fontId="35" fillId="0" borderId="0" xfId="1" applyNumberFormat="1" applyFont="1" applyAlignment="1">
      <alignment horizontal="center"/>
    </xf>
    <xf numFmtId="181" fontId="35" fillId="0" borderId="0" xfId="1" quotePrefix="1" applyNumberFormat="1" applyFont="1" applyAlignment="1">
      <alignment horizontal="center" vertical="center"/>
    </xf>
    <xf numFmtId="0" fontId="0" fillId="0" borderId="0" xfId="0" applyAlignment="1">
      <alignment horizontal="right"/>
    </xf>
    <xf numFmtId="0" fontId="3" fillId="0" borderId="8" xfId="0" applyFont="1" applyBorder="1" applyAlignment="1">
      <alignment horizontal="right"/>
    </xf>
    <xf numFmtId="0" fontId="14" fillId="0" borderId="8" xfId="0" applyFont="1" applyBorder="1" applyAlignment="1">
      <alignment horizontal="right"/>
    </xf>
    <xf numFmtId="0" fontId="19" fillId="0" borderId="8" xfId="0" applyFont="1" applyBorder="1" applyAlignment="1">
      <alignment horizontal="right"/>
    </xf>
    <xf numFmtId="0" fontId="19" fillId="0" borderId="0" xfId="0" applyFont="1" applyAlignment="1">
      <alignment horizontal="right"/>
    </xf>
    <xf numFmtId="0" fontId="14" fillId="16" borderId="0" xfId="0" applyFont="1" applyFill="1" applyAlignment="1">
      <alignment horizontal="right"/>
    </xf>
    <xf numFmtId="0" fontId="1" fillId="0" borderId="0" xfId="0" applyFont="1"/>
    <xf numFmtId="0" fontId="0" fillId="0" borderId="0" xfId="0"/>
    <xf numFmtId="0" fontId="2" fillId="0" borderId="0" xfId="0" applyFont="1"/>
    <xf numFmtId="181" fontId="37" fillId="17" borderId="8" xfId="1" applyNumberFormat="1" applyFont="1" applyFill="1" applyBorder="1" applyAlignment="1">
      <alignment horizontal="center"/>
    </xf>
    <xf numFmtId="181" fontId="37" fillId="0" borderId="8" xfId="1" applyNumberFormat="1" applyFont="1" applyBorder="1" applyAlignment="1">
      <alignment horizontal="center"/>
    </xf>
    <xf numFmtId="181" fontId="37" fillId="0" borderId="0" xfId="1" applyNumberFormat="1" applyFont="1" applyAlignment="1">
      <alignment horizontal="center"/>
    </xf>
    <xf numFmtId="181" fontId="37" fillId="17" borderId="0" xfId="1" applyNumberFormat="1" applyFont="1" applyFill="1" applyAlignment="1">
      <alignment horizontal="center"/>
    </xf>
    <xf numFmtId="181" fontId="37" fillId="17" borderId="0" xfId="1" applyNumberFormat="1" applyFont="1" applyFill="1" applyAlignment="1">
      <alignment horizontal="left"/>
    </xf>
    <xf numFmtId="181" fontId="41" fillId="18" borderId="0" xfId="1" applyNumberFormat="1" applyFont="1" applyFill="1" applyAlignment="1">
      <alignment horizontal="center"/>
    </xf>
    <xf numFmtId="41" fontId="42" fillId="0" borderId="14" xfId="1" applyFont="1" applyBorder="1" applyAlignment="1"/>
    <xf numFmtId="41" fontId="42" fillId="0" borderId="8" xfId="1" applyFont="1" applyBorder="1" applyAlignment="1"/>
    <xf numFmtId="181" fontId="42" fillId="0" borderId="13" xfId="1" applyNumberFormat="1" applyFont="1" applyBorder="1" applyAlignment="1"/>
    <xf numFmtId="181" fontId="42" fillId="0" borderId="0" xfId="1" applyNumberFormat="1" applyFont="1" applyAlignment="1"/>
    <xf numFmtId="190" fontId="42" fillId="0" borderId="14" xfId="1" applyNumberFormat="1" applyFont="1" applyBorder="1" applyAlignment="1"/>
    <xf numFmtId="183" fontId="42" fillId="0" borderId="8" xfId="1" applyNumberFormat="1" applyFont="1" applyBorder="1" applyAlignment="1"/>
    <xf numFmtId="181" fontId="42" fillId="0" borderId="8" xfId="1" applyNumberFormat="1" applyFont="1" applyBorder="1" applyAlignment="1"/>
    <xf numFmtId="185" fontId="42" fillId="0" borderId="8" xfId="1" applyNumberFormat="1" applyFont="1" applyBorder="1" applyAlignment="1"/>
    <xf numFmtId="186" fontId="42" fillId="0" borderId="8" xfId="1" applyNumberFormat="1" applyFont="1" applyBorder="1" applyAlignment="1"/>
    <xf numFmtId="187" fontId="42" fillId="0" borderId="8" xfId="1" applyNumberFormat="1" applyFont="1" applyBorder="1" applyAlignment="1"/>
    <xf numFmtId="188" fontId="42" fillId="0" borderId="8" xfId="1" applyNumberFormat="1" applyFont="1" applyBorder="1" applyAlignment="1"/>
    <xf numFmtId="189" fontId="42" fillId="0" borderId="8" xfId="1" applyNumberFormat="1" applyFont="1" applyBorder="1" applyAlignment="1"/>
    <xf numFmtId="190" fontId="42" fillId="0" borderId="8" xfId="1" applyNumberFormat="1" applyFont="1" applyBorder="1" applyAlignment="1"/>
    <xf numFmtId="2" fontId="1" fillId="0" borderId="0" xfId="0" applyNumberFormat="1" applyFont="1"/>
    <xf numFmtId="2" fontId="2" fillId="0" borderId="0" xfId="0" applyNumberFormat="1" applyFont="1"/>
    <xf numFmtId="2" fontId="1" fillId="0" borderId="0" xfId="0" applyNumberFormat="1" applyFont="1"/>
    <xf numFmtId="2" fontId="2" fillId="0" borderId="0" xfId="0" applyNumberFormat="1" applyFont="1" applyAlignment="1">
      <alignment horizontal="right"/>
    </xf>
    <xf numFmtId="2" fontId="43" fillId="19" borderId="0" xfId="0" applyNumberFormat="1" applyFont="1" applyFill="1" applyAlignment="1">
      <alignment horizontal="right"/>
    </xf>
    <xf numFmtId="2" fontId="2" fillId="0" borderId="0" xfId="0" applyNumberFormat="1" applyFont="1"/>
    <xf numFmtId="2" fontId="1" fillId="0" borderId="0" xfId="0" applyNumberFormat="1" applyFont="1" applyAlignment="1"/>
    <xf numFmtId="2" fontId="44" fillId="19" borderId="0" xfId="0" applyNumberFormat="1" applyFont="1" applyFill="1" applyAlignment="1">
      <alignment horizontal="right"/>
    </xf>
    <xf numFmtId="2" fontId="15" fillId="0" borderId="0" xfId="0" applyNumberFormat="1" applyFont="1"/>
    <xf numFmtId="2" fontId="15" fillId="0" borderId="0" xfId="0" applyNumberFormat="1" applyFont="1"/>
    <xf numFmtId="2" fontId="2" fillId="0" borderId="0" xfId="0" applyNumberFormat="1" applyFont="1" applyAlignment="1"/>
    <xf numFmtId="2" fontId="5" fillId="0" borderId="0" xfId="0" applyNumberFormat="1" applyFont="1"/>
    <xf numFmtId="2" fontId="2" fillId="20" borderId="0" xfId="0" applyNumberFormat="1" applyFont="1" applyFill="1"/>
    <xf numFmtId="41" fontId="2" fillId="20" borderId="0" xfId="1" applyFont="1" applyFill="1" applyAlignment="1"/>
    <xf numFmtId="181" fontId="43" fillId="19" borderId="0" xfId="1" applyNumberFormat="1" applyFont="1" applyFill="1" applyAlignment="1">
      <alignment horizontal="right"/>
    </xf>
    <xf numFmtId="41" fontId="43" fillId="19" borderId="0" xfId="1" applyNumberFormat="1" applyFont="1" applyFill="1" applyAlignment="1">
      <alignment horizontal="right"/>
    </xf>
    <xf numFmtId="2" fontId="45" fillId="0" borderId="0" xfId="0" applyNumberFormat="1" applyFont="1"/>
    <xf numFmtId="2" fontId="38" fillId="0" borderId="0" xfId="0" applyNumberFormat="1" applyFont="1" applyAlignment="1">
      <alignment horizontal="right"/>
    </xf>
    <xf numFmtId="2" fontId="38" fillId="0" borderId="8" xfId="0" applyNumberFormat="1" applyFont="1" applyBorder="1" applyAlignment="1">
      <alignment horizontal="right"/>
    </xf>
    <xf numFmtId="2" fontId="39" fillId="0" borderId="8" xfId="0" applyNumberFormat="1" applyFont="1" applyBorder="1" applyAlignment="1">
      <alignment horizontal="right"/>
    </xf>
    <xf numFmtId="2" fontId="15" fillId="0" borderId="8" xfId="0" applyNumberFormat="1" applyFont="1" applyBorder="1"/>
    <xf numFmtId="2" fontId="2" fillId="0" borderId="15" xfId="0" applyNumberFormat="1" applyFont="1" applyBorder="1" applyAlignment="1">
      <alignment horizontal="right"/>
    </xf>
    <xf numFmtId="2" fontId="15" fillId="0" borderId="16" xfId="0" applyNumberFormat="1" applyFont="1" applyBorder="1" applyAlignment="1">
      <alignment horizontal="right"/>
    </xf>
    <xf numFmtId="2" fontId="15" fillId="0" borderId="17" xfId="0" applyNumberFormat="1" applyFont="1" applyBorder="1" applyAlignment="1">
      <alignment horizontal="right"/>
    </xf>
    <xf numFmtId="2" fontId="2" fillId="0" borderId="18" xfId="0" applyNumberFormat="1" applyFont="1" applyBorder="1" applyAlignment="1">
      <alignment horizontal="right"/>
    </xf>
    <xf numFmtId="2" fontId="2" fillId="0" borderId="0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15" fillId="0" borderId="13" xfId="0" applyNumberFormat="1" applyFont="1" applyBorder="1" applyAlignment="1">
      <alignment horizontal="right"/>
    </xf>
    <xf numFmtId="41" fontId="2" fillId="0" borderId="18" xfId="1" applyFont="1" applyBorder="1" applyAlignment="1">
      <alignment horizontal="right"/>
    </xf>
    <xf numFmtId="2" fontId="2" fillId="0" borderId="19" xfId="0" applyNumberFormat="1" applyFont="1" applyBorder="1"/>
    <xf numFmtId="2" fontId="2" fillId="0" borderId="8" xfId="0" applyNumberFormat="1" applyFont="1" applyBorder="1"/>
    <xf numFmtId="2" fontId="15" fillId="0" borderId="14" xfId="0" applyNumberFormat="1" applyFont="1" applyBorder="1"/>
    <xf numFmtId="196" fontId="43" fillId="19" borderId="0" xfId="1" applyNumberFormat="1" applyFont="1" applyFill="1" applyAlignment="1">
      <alignment horizontal="right"/>
    </xf>
    <xf numFmtId="0" fontId="9" fillId="0" borderId="0" xfId="0" applyFon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15" fillId="0" borderId="0" xfId="0" applyFont="1"/>
    <xf numFmtId="2" fontId="43" fillId="19" borderId="0" xfId="0" applyNumberFormat="1" applyFont="1" applyFill="1" applyAlignment="1">
      <alignment horizontal="left"/>
    </xf>
  </cellXfs>
  <cellStyles count="2">
    <cellStyle name="쉼표 [0]" xfId="1" builtinId="6"/>
    <cellStyle name="표준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2" formatCode="#,##0_ ;[Red]\-#,##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2" formatCode="#,##0_ ;[Red]\-#,##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2" formatCode="#,##0_ ;[Red]\-#,##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1" formatCode="_-* #,##0.00_-;\-* #,##0.00_-;_-* &quot;-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1" formatCode="_-* #,##0.00_-;\-* #,##0.00_-;_-* &quot;-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1" formatCode="_-* #,##0.00_-;\-* #,##0.00_-;_-* &quot;-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2" formatCode="#,##0_ ;[Red]\-#,##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1" formatCode="_-* #,##0.00_-;\-* #,##0.00_-;_-* &quot;-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rial"/>
        <scheme val="minor"/>
      </font>
      <numFmt numFmtId="181" formatCode="_-* #,##0.00_-;\-* #,##0.00_-;_-* &quot;-&quot;_-;_-@_-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covarianc_correlation!$C$1</c:f>
              <c:strCache>
                <c:ptCount val="1"/>
                <c:pt idx="0">
                  <c:v>Weight (kg)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covarianc_correlation!$B$2:$B$17</c:f>
              <c:numCache>
                <c:formatCode>General</c:formatCode>
                <c:ptCount val="16"/>
                <c:pt idx="0">
                  <c:v>100</c:v>
                </c:pt>
                <c:pt idx="1">
                  <c:v>391</c:v>
                </c:pt>
                <c:pt idx="2">
                  <c:v>613</c:v>
                </c:pt>
                <c:pt idx="3">
                  <c:v>893</c:v>
                </c:pt>
                <c:pt idx="4">
                  <c:v>1075</c:v>
                </c:pt>
                <c:pt idx="5">
                  <c:v>1250</c:v>
                </c:pt>
                <c:pt idx="6">
                  <c:v>1498</c:v>
                </c:pt>
                <c:pt idx="7">
                  <c:v>1651</c:v>
                </c:pt>
                <c:pt idx="8">
                  <c:v>1825</c:v>
                </c:pt>
                <c:pt idx="9">
                  <c:v>1975</c:v>
                </c:pt>
                <c:pt idx="10">
                  <c:v>2241</c:v>
                </c:pt>
                <c:pt idx="11">
                  <c:v>2535</c:v>
                </c:pt>
                <c:pt idx="12">
                  <c:v>2691</c:v>
                </c:pt>
                <c:pt idx="13">
                  <c:v>2872</c:v>
                </c:pt>
                <c:pt idx="14">
                  <c:v>3052</c:v>
                </c:pt>
                <c:pt idx="15">
                  <c:v>3343</c:v>
                </c:pt>
              </c:numCache>
            </c:numRef>
          </c:xVal>
          <c:yVal>
            <c:numRef>
              <c:f>covarianc_correlation!$C$2:$C$17</c:f>
              <c:numCache>
                <c:formatCode>General</c:formatCode>
                <c:ptCount val="16"/>
                <c:pt idx="0">
                  <c:v>50.1</c:v>
                </c:pt>
                <c:pt idx="1">
                  <c:v>55.1</c:v>
                </c:pt>
                <c:pt idx="2">
                  <c:v>60.1</c:v>
                </c:pt>
                <c:pt idx="3">
                  <c:v>65.099999999999994</c:v>
                </c:pt>
                <c:pt idx="4">
                  <c:v>70.099999999999994</c:v>
                </c:pt>
                <c:pt idx="5">
                  <c:v>75.099999999999994</c:v>
                </c:pt>
                <c:pt idx="6">
                  <c:v>80.099999999999994</c:v>
                </c:pt>
                <c:pt idx="7">
                  <c:v>85.1</c:v>
                </c:pt>
                <c:pt idx="8">
                  <c:v>90.1</c:v>
                </c:pt>
                <c:pt idx="9">
                  <c:v>95.1</c:v>
                </c:pt>
                <c:pt idx="10">
                  <c:v>100.1</c:v>
                </c:pt>
                <c:pt idx="11">
                  <c:v>105.1</c:v>
                </c:pt>
                <c:pt idx="12">
                  <c:v>110.1</c:v>
                </c:pt>
                <c:pt idx="13">
                  <c:v>115.1</c:v>
                </c:pt>
                <c:pt idx="14">
                  <c:v>120.1</c:v>
                </c:pt>
                <c:pt idx="15">
                  <c:v>125.1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94-4D03-8772-9C3D3027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2360704"/>
        <c:axId val="1042348704"/>
      </c:scatterChart>
      <c:valAx>
        <c:axId val="1042360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2348704"/>
        <c:crosses val="autoZero"/>
        <c:crossBetween val="midCat"/>
      </c:valAx>
      <c:valAx>
        <c:axId val="104234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236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Weight (kg) vs. Height (cm)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'linear regression'!$B$3</c:f>
              <c:strCache>
                <c:ptCount val="1"/>
                <c:pt idx="0">
                  <c:v>Weight (kg)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numRef>
              <c:f>'linear regression'!$A$4:$A$19</c:f>
              <c:numCache>
                <c:formatCode>General</c:formatCode>
                <c:ptCount val="16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</c:numCache>
            </c:numRef>
          </c:xVal>
          <c:yVal>
            <c:numRef>
              <c:f>'linear regression'!$B$4:$B$19</c:f>
              <c:numCache>
                <c:formatCode>General</c:formatCode>
                <c:ptCount val="16"/>
                <c:pt idx="0">
                  <c:v>50.1</c:v>
                </c:pt>
                <c:pt idx="1">
                  <c:v>55.1</c:v>
                </c:pt>
                <c:pt idx="2">
                  <c:v>60.1</c:v>
                </c:pt>
                <c:pt idx="3">
                  <c:v>65.099999999999994</c:v>
                </c:pt>
                <c:pt idx="4">
                  <c:v>70.099999999999994</c:v>
                </c:pt>
                <c:pt idx="5">
                  <c:v>75.099999999999994</c:v>
                </c:pt>
                <c:pt idx="6">
                  <c:v>80.099999999999994</c:v>
                </c:pt>
                <c:pt idx="7">
                  <c:v>85.1</c:v>
                </c:pt>
                <c:pt idx="8">
                  <c:v>90.1</c:v>
                </c:pt>
                <c:pt idx="9">
                  <c:v>95.1</c:v>
                </c:pt>
                <c:pt idx="10">
                  <c:v>100.1</c:v>
                </c:pt>
                <c:pt idx="11">
                  <c:v>105.1</c:v>
                </c:pt>
                <c:pt idx="12">
                  <c:v>110.1</c:v>
                </c:pt>
                <c:pt idx="13">
                  <c:v>115.1</c:v>
                </c:pt>
                <c:pt idx="14">
                  <c:v>120.1</c:v>
                </c:pt>
                <c:pt idx="15">
                  <c:v>125.1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59-41D8-ABA4-BFABAE45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863070"/>
        <c:axId val="2015278475"/>
      </c:scatterChart>
      <c:valAx>
        <c:axId val="189186307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Height (cm)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15278475"/>
        <c:crosses val="autoZero"/>
        <c:crossBetween val="midCat"/>
      </c:valAx>
      <c:valAx>
        <c:axId val="20152784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Weight (kg)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89186307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y vs. x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'simple linear regression'!$C$3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FF0000">
                    <a:alpha val="40000"/>
                  </a:srgbClr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numRef>
              <c:f>'simple linear regression'!$B$4:$B$9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</c:numCache>
            </c:numRef>
          </c:xVal>
          <c:yVal>
            <c:numRef>
              <c:f>'simple linear regression'!$C$4:$C$9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EB-4AF7-AA10-FBFB1CBBD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7402601"/>
        <c:axId val="1039985152"/>
      </c:scatterChart>
      <c:valAx>
        <c:axId val="161740260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039985152"/>
        <c:crosses val="autoZero"/>
        <c:crossBetween val="midCat"/>
      </c:valAx>
      <c:valAx>
        <c:axId val="1039985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1740260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Y vs. X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bias_variance!$C$1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bias_variance!$B$2:$B$19</c:f>
              <c:strCache>
                <c:ptCount val="18"/>
                <c:pt idx="0">
                  <c:v>0.00</c:v>
                </c:pt>
                <c:pt idx="1">
                  <c:v>100.00</c:v>
                </c:pt>
                <c:pt idx="2">
                  <c:v>200.00</c:v>
                </c:pt>
                <c:pt idx="3">
                  <c:v>300.00</c:v>
                </c:pt>
                <c:pt idx="4">
                  <c:v>400.00</c:v>
                </c:pt>
                <c:pt idx="5">
                  <c:v>500.00</c:v>
                </c:pt>
                <c:pt idx="6">
                  <c:v>600.00</c:v>
                </c:pt>
                <c:pt idx="7">
                  <c:v>700.00</c:v>
                </c:pt>
                <c:pt idx="8">
                  <c:v>800.00</c:v>
                </c:pt>
                <c:pt idx="9">
                  <c:v>900.00</c:v>
                </c:pt>
                <c:pt idx="10">
                  <c:v>1000.00</c:v>
                </c:pt>
                <c:pt idx="11">
                  <c:v>1100.00</c:v>
                </c:pt>
                <c:pt idx="12">
                  <c:v>1200.00</c:v>
                </c:pt>
                <c:pt idx="13">
                  <c:v>1300.00</c:v>
                </c:pt>
                <c:pt idx="14">
                  <c:v>1400.00</c:v>
                </c:pt>
                <c:pt idx="15">
                  <c:v>1500.00</c:v>
                </c:pt>
                <c:pt idx="17">
                  <c:v>에서 linear regression구글링</c:v>
                </c:pt>
              </c:strCache>
            </c:strRef>
          </c:xVal>
          <c:yVal>
            <c:numRef>
              <c:f>bias_variance!$C$2:$C$19</c:f>
              <c:numCache>
                <c:formatCode>0.00</c:formatCode>
                <c:ptCount val="18"/>
                <c:pt idx="0">
                  <c:v>97.979973809193638</c:v>
                </c:pt>
                <c:pt idx="1">
                  <c:v>51.454919361721316</c:v>
                </c:pt>
                <c:pt idx="2">
                  <c:v>31.230178787107121</c:v>
                </c:pt>
                <c:pt idx="3">
                  <c:v>67.7043003902441</c:v>
                </c:pt>
                <c:pt idx="4">
                  <c:v>53.48935453252178</c:v>
                </c:pt>
                <c:pt idx="5">
                  <c:v>73.042673206734889</c:v>
                </c:pt>
                <c:pt idx="6">
                  <c:v>11.205965656449392</c:v>
                </c:pt>
                <c:pt idx="7">
                  <c:v>41.84934777527836</c:v>
                </c:pt>
                <c:pt idx="8">
                  <c:v>64.04071598386146</c:v>
                </c:pt>
                <c:pt idx="9">
                  <c:v>20.066181281651158</c:v>
                </c:pt>
                <c:pt idx="10">
                  <c:v>43.659254858915112</c:v>
                </c:pt>
                <c:pt idx="11">
                  <c:v>34.214572815873836</c:v>
                </c:pt>
                <c:pt idx="12">
                  <c:v>43.371464575504589</c:v>
                </c:pt>
                <c:pt idx="13">
                  <c:v>52.720979579425936</c:v>
                </c:pt>
                <c:pt idx="14">
                  <c:v>28.786189734720708</c:v>
                </c:pt>
                <c:pt idx="15">
                  <c:v>58.13796177850314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57-4E5E-8B6F-0C5430DAB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146727"/>
        <c:axId val="1205222407"/>
      </c:scatterChart>
      <c:valAx>
        <c:axId val="143314672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205222407"/>
        <c:crosses val="autoZero"/>
        <c:crossBetween val="midCat"/>
      </c:valAx>
      <c:valAx>
        <c:axId val="12052224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43314672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                  Logistic vs. Input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 function'!$C$3</c:f>
              <c:strCache>
                <c:ptCount val="1"/>
                <c:pt idx="0">
                  <c:v>Logistic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'logistic function'!$B$4:$B$14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'logistic function'!$C$4:$C$14</c:f>
              <c:numCache>
                <c:formatCode>0.0000000</c:formatCode>
                <c:ptCount val="11"/>
                <c:pt idx="0">
                  <c:v>6.6928509242848554E-3</c:v>
                </c:pt>
                <c:pt idx="1">
                  <c:v>1.7986209962091559E-2</c:v>
                </c:pt>
                <c:pt idx="2">
                  <c:v>4.7425873177566781E-2</c:v>
                </c:pt>
                <c:pt idx="3">
                  <c:v>0.11920292202211755</c:v>
                </c:pt>
                <c:pt idx="4">
                  <c:v>0.2689414213699951</c:v>
                </c:pt>
                <c:pt idx="5">
                  <c:v>0.5</c:v>
                </c:pt>
                <c:pt idx="6">
                  <c:v>0.7310585786300049</c:v>
                </c:pt>
                <c:pt idx="7">
                  <c:v>0.88079707797788231</c:v>
                </c:pt>
                <c:pt idx="8">
                  <c:v>0.95257412682243336</c:v>
                </c:pt>
                <c:pt idx="9">
                  <c:v>0.98201379003790845</c:v>
                </c:pt>
                <c:pt idx="10">
                  <c:v>0.99330714907571527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D4-4290-BCBB-ACECD188A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815279"/>
        <c:axId val="313704264"/>
      </c:lineChart>
      <c:catAx>
        <c:axId val="138815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Input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13704264"/>
        <c:crosses val="autoZero"/>
        <c:auto val="1"/>
        <c:lblAlgn val="ctr"/>
        <c:lblOffset val="100"/>
        <c:noMultiLvlLbl val="1"/>
      </c:catAx>
      <c:valAx>
        <c:axId val="3137042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Logistic</a:t>
                </a:r>
              </a:p>
            </c:rich>
          </c:tx>
          <c:overlay val="0"/>
        </c:title>
        <c:numFmt formatCode="0.00E+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88152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Derivative vs. Input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 function'!$D$3</c:f>
              <c:strCache>
                <c:ptCount val="1"/>
                <c:pt idx="0">
                  <c:v>Derivative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'logistic function'!$B$4:$B$14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'logistic function'!$D$4:$D$14</c:f>
              <c:numCache>
                <c:formatCode>0.0000000</c:formatCode>
                <c:ptCount val="11"/>
                <c:pt idx="0">
                  <c:v>6.6480566707901546E-3</c:v>
                </c:pt>
                <c:pt idx="1">
                  <c:v>1.7662706213291118E-2</c:v>
                </c:pt>
                <c:pt idx="2">
                  <c:v>4.517665973091213E-2</c:v>
                </c:pt>
                <c:pt idx="3">
                  <c:v>0.10499358540350652</c:v>
                </c:pt>
                <c:pt idx="4">
                  <c:v>0.19661193324148185</c:v>
                </c:pt>
                <c:pt idx="5">
                  <c:v>0.25</c:v>
                </c:pt>
                <c:pt idx="6">
                  <c:v>0.19661193324148188</c:v>
                </c:pt>
                <c:pt idx="7">
                  <c:v>0.10499358540350651</c:v>
                </c:pt>
                <c:pt idx="8">
                  <c:v>4.5176659730912144E-2</c:v>
                </c:pt>
                <c:pt idx="9">
                  <c:v>1.7662706213291114E-2</c:v>
                </c:pt>
                <c:pt idx="10">
                  <c:v>6.6480566707901563E-3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F1-4207-82C3-20051968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5742272"/>
        <c:axId val="570590992"/>
      </c:lineChart>
      <c:catAx>
        <c:axId val="1885742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Input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570590992"/>
        <c:crosses val="autoZero"/>
        <c:auto val="1"/>
        <c:lblAlgn val="ctr"/>
        <c:lblOffset val="100"/>
        <c:noMultiLvlLbl val="1"/>
      </c:catAx>
      <c:valAx>
        <c:axId val="570590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Derivative</a:t>
                </a:r>
              </a:p>
            </c:rich>
          </c:tx>
          <c:overlay val="0"/>
        </c:title>
        <c:numFmt formatCode="0.0000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8857422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'log loss plot'!$L$4</c:f>
              <c:strCache>
                <c:ptCount val="1"/>
                <c:pt idx="0">
                  <c:v> (1-y)*log(1-p)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'log loss plot'!$J$5:$J$16</c:f>
              <c:numCache>
                <c:formatCode>_-* #,##0.00_-;\-* #,##0.00_-;_-* "-"_-;_-@_-</c:formatCode>
                <c:ptCount val="12"/>
                <c:pt idx="0">
                  <c:v>0.65093155694235783</c:v>
                </c:pt>
                <c:pt idx="1">
                  <c:v>0.82873766203579324</c:v>
                </c:pt>
                <c:pt idx="2">
                  <c:v>0.44536049905311881</c:v>
                </c:pt>
                <c:pt idx="3">
                  <c:v>0.90479147307203256</c:v>
                </c:pt>
                <c:pt idx="4">
                  <c:v>0.73594026071645968</c:v>
                </c:pt>
                <c:pt idx="5">
                  <c:v>0.1404211589535872</c:v>
                </c:pt>
                <c:pt idx="6">
                  <c:v>0.62070042897056543</c:v>
                </c:pt>
                <c:pt idx="7">
                  <c:v>0.81290991792286582</c:v>
                </c:pt>
                <c:pt idx="8">
                  <c:v>0.49420241075943616</c:v>
                </c:pt>
                <c:pt idx="9">
                  <c:v>0.75388067383402424</c:v>
                </c:pt>
                <c:pt idx="10">
                  <c:v>0.94739346266493552</c:v>
                </c:pt>
                <c:pt idx="11">
                  <c:v>0.87781523057887623</c:v>
                </c:pt>
              </c:numCache>
            </c:numRef>
          </c:xVal>
          <c:yVal>
            <c:numRef>
              <c:f>'log loss plot'!$L$5:$L$16</c:f>
              <c:numCache>
                <c:formatCode>_-* #,##0.00_-;\-* #,##0.00_-;_-* "-"_-;_-@_-</c:formatCode>
                <c:ptCount val="12"/>
                <c:pt idx="0">
                  <c:v>1.0524872640941225</c:v>
                </c:pt>
                <c:pt idx="1">
                  <c:v>1.7645587579287105</c:v>
                </c:pt>
                <c:pt idx="2">
                  <c:v>0.58943692412675563</c:v>
                </c:pt>
                <c:pt idx="3">
                  <c:v>2.351685772624756</c:v>
                </c:pt>
                <c:pt idx="4">
                  <c:v>1.3315799162695217</c:v>
                </c:pt>
                <c:pt idx="5">
                  <c:v>0.15131272939991947</c:v>
                </c:pt>
                <c:pt idx="6">
                  <c:v>0.96942896124116729</c:v>
                </c:pt>
                <c:pt idx="7">
                  <c:v>1.6761650557808909</c:v>
                </c:pt>
                <c:pt idx="8">
                  <c:v>0.68161871098822824</c:v>
                </c:pt>
                <c:pt idx="9">
                  <c:v>1.40193879494077</c:v>
                </c:pt>
                <c:pt idx="10">
                  <c:v>2.9449148830244942</c:v>
                </c:pt>
                <c:pt idx="11">
                  <c:v>2.1022208765007635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2B-47B6-A1F8-71968C1A4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16592"/>
        <c:axId val="23884400"/>
      </c:scatterChart>
      <c:valAx>
        <c:axId val="18216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3884400"/>
        <c:crosses val="autoZero"/>
        <c:crossBetween val="midCat"/>
      </c:valAx>
      <c:valAx>
        <c:axId val="2388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21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P(A)</a:t>
            </a:r>
            <a:r>
              <a:rPr lang="en-US" altLang="ko-KR" baseline="0"/>
              <a:t> vs. Odd ratio(A)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odds!$C$2:$C$23</c:f>
              <c:numCache>
                <c:formatCode>_-* #,##0.00_-;\-* #,##0.00_-;_-* "-"_-;_-@_-</c:formatCode>
                <c:ptCount val="22"/>
                <c:pt idx="0">
                  <c:v>1.0000010000009999E-6</c:v>
                </c:pt>
                <c:pt idx="1">
                  <c:v>5.263268698177577E-2</c:v>
                </c:pt>
                <c:pt idx="2">
                  <c:v>0.1111123456803841</c:v>
                </c:pt>
                <c:pt idx="3">
                  <c:v>0.17647197231996745</c:v>
                </c:pt>
                <c:pt idx="4">
                  <c:v>0.2500015625019531</c:v>
                </c:pt>
                <c:pt idx="5">
                  <c:v>0.33333511111348141</c:v>
                </c:pt>
                <c:pt idx="6">
                  <c:v>0.42857346939067048</c:v>
                </c:pt>
                <c:pt idx="7">
                  <c:v>0.53846390532908506</c:v>
                </c:pt>
                <c:pt idx="8">
                  <c:v>0.66666944444907394</c:v>
                </c:pt>
                <c:pt idx="9">
                  <c:v>0.8181851239729524</c:v>
                </c:pt>
                <c:pt idx="10">
                  <c:v>1.0000040000079997</c:v>
                </c:pt>
                <c:pt idx="11">
                  <c:v>1.222227160504801</c:v>
                </c:pt>
                <c:pt idx="12">
                  <c:v>1.500006250015625</c:v>
                </c:pt>
                <c:pt idx="13">
                  <c:v>1.8571510204314874</c:v>
                </c:pt>
                <c:pt idx="14">
                  <c:v>2.3333444444814826</c:v>
                </c:pt>
                <c:pt idx="15">
                  <c:v>3.0000160000640026</c:v>
                </c:pt>
                <c:pt idx="16">
                  <c:v>4.0000250001250048</c:v>
                </c:pt>
                <c:pt idx="17">
                  <c:v>5.6667111114074196</c:v>
                </c:pt>
                <c:pt idx="18">
                  <c:v>9.0001000010000372</c:v>
                </c:pt>
                <c:pt idx="19">
                  <c:v>19.000400008000287</c:v>
                </c:pt>
                <c:pt idx="20">
                  <c:v>999998.99997124437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F-43C0-8353-EF0441DF94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3398320"/>
        <c:axId val="523402160"/>
      </c:barChart>
      <c:catAx>
        <c:axId val="52339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3402160"/>
        <c:crosses val="autoZero"/>
        <c:auto val="1"/>
        <c:lblAlgn val="ctr"/>
        <c:lblOffset val="100"/>
        <c:noMultiLvlLbl val="0"/>
      </c:catAx>
      <c:valAx>
        <c:axId val="52340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339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P(A) vs. logit(A)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07699037620297"/>
          <c:y val="0.2323377806940799"/>
          <c:w val="0.86597178477690284"/>
          <c:h val="0.744398148148148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odds!$E$2:$E$22</c:f>
              <c:numCache>
                <c:formatCode>_-* #,##0.00_-;\-* #,##0.00_-;_-* "-"_-;_-@_-</c:formatCode>
                <c:ptCount val="21"/>
                <c:pt idx="0">
                  <c:v>-5.9999995657053011</c:v>
                </c:pt>
                <c:pt idx="1">
                  <c:v>-1.2787444579977219</c:v>
                </c:pt>
                <c:pt idx="2">
                  <c:v>-0.95423768396652797</c:v>
                </c:pt>
                <c:pt idx="3">
                  <c:v>-0.75332426043673129</c:v>
                </c:pt>
                <c:pt idx="4">
                  <c:v>-0.60205727699253986</c:v>
                </c:pt>
                <c:pt idx="5">
                  <c:v>-0.47711893848551401</c:v>
                </c:pt>
                <c:pt idx="6">
                  <c:v>-0.36797471722760261</c:v>
                </c:pt>
                <c:pt idx="7">
                  <c:v>-0.26884340330710504</c:v>
                </c:pt>
                <c:pt idx="8">
                  <c:v>-0.17608944949609404</c:v>
                </c:pt>
                <c:pt idx="9">
                  <c:v>-8.7148420994075396E-2</c:v>
                </c:pt>
                <c:pt idx="10">
                  <c:v>1.7371779274850375E-6</c:v>
                </c:pt>
                <c:pt idx="11">
                  <c:v>8.7151930444434006E-2</c:v>
                </c:pt>
                <c:pt idx="12">
                  <c:v>0.17609306861677648</c:v>
                </c:pt>
                <c:pt idx="13">
                  <c:v>0.26884722128057237</c:v>
                </c:pt>
                <c:pt idx="14">
                  <c:v>0.3679788533655256</c:v>
                </c:pt>
                <c:pt idx="15">
                  <c:v>0.47712357095998792</c:v>
                </c:pt>
                <c:pt idx="16">
                  <c:v>0.60206270567356412</c:v>
                </c:pt>
                <c:pt idx="17">
                  <c:v>0.75333107289919332</c:v>
                </c:pt>
                <c:pt idx="18">
                  <c:v>0.95424733495501635</c:v>
                </c:pt>
                <c:pt idx="19">
                  <c:v>1.2787627440811755</c:v>
                </c:pt>
                <c:pt idx="20">
                  <c:v>5.9999995656928125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A2-4127-855D-51DC4A54E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2495024"/>
        <c:axId val="622494544"/>
      </c:barChart>
      <c:catAx>
        <c:axId val="62249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2494544"/>
        <c:crosses val="autoZero"/>
        <c:auto val="1"/>
        <c:lblAlgn val="ctr"/>
        <c:lblOffset val="100"/>
        <c:noMultiLvlLbl val="0"/>
      </c:catAx>
      <c:valAx>
        <c:axId val="62249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249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image" Target="../media/image1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53339</xdr:colOff>
      <xdr:row>45</xdr:row>
      <xdr:rowOff>106680</xdr:rowOff>
    </xdr:from>
    <xdr:to>
      <xdr:col>9</xdr:col>
      <xdr:colOff>8410</xdr:colOff>
      <xdr:row>54</xdr:row>
      <xdr:rowOff>37085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4D37BED-F565-F18C-1B06-AC7106831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3439" y="7345680"/>
          <a:ext cx="3643151" cy="1408685"/>
        </a:xfrm>
        <a:prstGeom prst="rect">
          <a:avLst/>
        </a:prstGeom>
      </xdr:spPr>
    </xdr:pic>
    <xdr:clientData/>
  </xdr:twoCellAnchor>
  <xdr:twoCellAnchor editAs="oneCell">
    <xdr:from>
      <xdr:col>5</xdr:col>
      <xdr:colOff>30480</xdr:colOff>
      <xdr:row>56</xdr:row>
      <xdr:rowOff>44622</xdr:rowOff>
    </xdr:from>
    <xdr:to>
      <xdr:col>8</xdr:col>
      <xdr:colOff>160369</xdr:colOff>
      <xdr:row>62</xdr:row>
      <xdr:rowOff>61081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0FA0FDA-EBD5-8482-D3AF-66C8B6AE4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0580" y="9043842"/>
          <a:ext cx="2895949" cy="10146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487680</xdr:colOff>
      <xdr:row>3</xdr:row>
      <xdr:rowOff>144781</xdr:rowOff>
    </xdr:from>
    <xdr:to>
      <xdr:col>15</xdr:col>
      <xdr:colOff>362139</xdr:colOff>
      <xdr:row>13</xdr:row>
      <xdr:rowOff>135039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EBC3261-0142-E891-050E-57B2E2D23C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5960" y="647701"/>
          <a:ext cx="3532059" cy="16666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464820</xdr:colOff>
      <xdr:row>16</xdr:row>
      <xdr:rowOff>127014</xdr:rowOff>
    </xdr:from>
    <xdr:to>
      <xdr:col>15</xdr:col>
      <xdr:colOff>419100</xdr:colOff>
      <xdr:row>26</xdr:row>
      <xdr:rowOff>154936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33C11D1B-D3EA-3795-3F60-B20D0811A6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3100" y="2809254"/>
          <a:ext cx="3611880" cy="17043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281940</xdr:colOff>
      <xdr:row>1</xdr:row>
      <xdr:rowOff>41910</xdr:rowOff>
    </xdr:from>
    <xdr:to>
      <xdr:col>11</xdr:col>
      <xdr:colOff>800100</xdr:colOff>
      <xdr:row>20</xdr:row>
      <xdr:rowOff>22860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961D92C-BAFB-516B-0675-45A7D73BE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108585</xdr:colOff>
      <xdr:row>3</xdr:row>
      <xdr:rowOff>36195</xdr:rowOff>
    </xdr:from>
    <xdr:ext cx="5027295" cy="293560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842010</xdr:colOff>
      <xdr:row>18</xdr:row>
      <xdr:rowOff>180975</xdr:rowOff>
    </xdr:from>
    <xdr:ext cx="3219450" cy="542925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288530" y="3747135"/>
          <a:ext cx="3219450" cy="54292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613410</xdr:colOff>
      <xdr:row>15</xdr:row>
      <xdr:rowOff>28575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285750</xdr:colOff>
      <xdr:row>17</xdr:row>
      <xdr:rowOff>76200</xdr:rowOff>
    </xdr:from>
    <xdr:ext cx="2009775" cy="457200"/>
    <xdr:pic>
      <xdr:nvPicPr>
        <xdr:cNvPr id="6" name="image3.png" title="Image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542925</xdr:colOff>
      <xdr:row>1</xdr:row>
      <xdr:rowOff>200025</xdr:rowOff>
    </xdr:from>
    <xdr:ext cx="6867525" cy="2619375"/>
    <xdr:graphicFrame macro="">
      <xdr:nvGraphicFramePr>
        <xdr:cNvPr id="6" name="Chart 6" title="Chart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741045</xdr:colOff>
      <xdr:row>0</xdr:row>
      <xdr:rowOff>74295</xdr:rowOff>
    </xdr:from>
    <xdr:ext cx="3390900" cy="2695575"/>
    <xdr:graphicFrame macro="">
      <xdr:nvGraphicFramePr>
        <xdr:cNvPr id="7" name="Chart 7" title="Chart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792480</xdr:colOff>
      <xdr:row>0</xdr:row>
      <xdr:rowOff>89535</xdr:rowOff>
    </xdr:from>
    <xdr:ext cx="3619500" cy="2695575"/>
    <xdr:graphicFrame macro="">
      <xdr:nvGraphicFramePr>
        <xdr:cNvPr id="8" name="Chart 8" title="Chart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617220</xdr:colOff>
      <xdr:row>0</xdr:row>
      <xdr:rowOff>36195</xdr:rowOff>
    </xdr:from>
    <xdr:ext cx="1600200" cy="409575"/>
    <xdr:pic>
      <xdr:nvPicPr>
        <xdr:cNvPr id="2" name="image9.png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26080" y="36195"/>
          <a:ext cx="160020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184785</xdr:colOff>
      <xdr:row>1</xdr:row>
      <xdr:rowOff>83820</xdr:rowOff>
    </xdr:from>
    <xdr:ext cx="2152650" cy="219075"/>
    <xdr:pic>
      <xdr:nvPicPr>
        <xdr:cNvPr id="3" name="image6.png" title="Image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78165" y="251460"/>
          <a:ext cx="2152650" cy="2190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314325</xdr:colOff>
      <xdr:row>15</xdr:row>
      <xdr:rowOff>276225</xdr:rowOff>
    </xdr:from>
    <xdr:ext cx="5172075" cy="581025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215265</xdr:colOff>
      <xdr:row>3</xdr:row>
      <xdr:rowOff>150495</xdr:rowOff>
    </xdr:from>
    <xdr:ext cx="2047875" cy="3724275"/>
    <xdr:pic>
      <xdr:nvPicPr>
        <xdr:cNvPr id="5" name="image11.png" title="Image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08645" y="653415"/>
          <a:ext cx="2047875" cy="3724275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156308</xdr:colOff>
      <xdr:row>0</xdr:row>
      <xdr:rowOff>244231</xdr:rowOff>
    </xdr:from>
    <xdr:to>
      <xdr:col>6</xdr:col>
      <xdr:colOff>1592371</xdr:colOff>
      <xdr:row>2</xdr:row>
      <xdr:rowOff>146538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C2F7AF-FE3F-4DE1-8647-06727FA598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6462" y="244231"/>
          <a:ext cx="4083524" cy="429845"/>
        </a:xfrm>
        <a:prstGeom prst="rect">
          <a:avLst/>
        </a:prstGeom>
      </xdr:spPr>
    </xdr:pic>
    <xdr:clientData/>
  </xdr:twoCellAnchor>
  <xdr:twoCellAnchor>
    <xdr:from>
      <xdr:col>9</xdr:col>
      <xdr:colOff>478693</xdr:colOff>
      <xdr:row>10</xdr:row>
      <xdr:rowOff>254976</xdr:rowOff>
    </xdr:from>
    <xdr:to>
      <xdr:col>12</xdr:col>
      <xdr:colOff>1563078</xdr:colOff>
      <xdr:row>21</xdr:row>
      <xdr:rowOff>96714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B8391B7-FD3F-4517-7A78-4AAB73C70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883919</xdr:colOff>
      <xdr:row>0</xdr:row>
      <xdr:rowOff>106679</xdr:rowOff>
    </xdr:from>
    <xdr:to>
      <xdr:col>12</xdr:col>
      <xdr:colOff>860758</xdr:colOff>
      <xdr:row>12</xdr:row>
      <xdr:rowOff>39982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D95E994-A96E-73B4-C235-A5E9B73EE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883920</xdr:colOff>
      <xdr:row>12</xdr:row>
      <xdr:rowOff>53340</xdr:rowOff>
    </xdr:from>
    <xdr:to>
      <xdr:col>12</xdr:col>
      <xdr:colOff>853440</xdr:colOff>
      <xdr:row>24</xdr:row>
      <xdr:rowOff>99060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B98F89F-97E3-D84B-6F55-F05688A371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51312;&#49345;&#44396;\Downloads\Algorithm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51312;&#49345;&#44396;\AppData\Local\Temp\8e1eed99-3555-43c2-9b11-4bd82e03ce10_bb_SW&#53076;&#46377;&#54876;&#50857;_&#50508;&#44256;&#47532;&#51608;&#51060;&#54644;-20231206T031913Z-001.zip.e10\bb_SW&#53076;&#46377;&#54876;&#50857;_&#50508;&#44256;&#47532;&#51608;&#51060;&#54644;\&#44053;&#51032;&#44368;&#51116;\Algorithm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gressio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ash course"/>
      <sheetName val="covarianc_correlation"/>
      <sheetName val="linear regression"/>
      <sheetName val="__Solver__"/>
      <sheetName val="__Solver___conflict482289707"/>
      <sheetName val="simple linear regression"/>
      <sheetName val="stochastic gradient regression"/>
      <sheetName val="실전문제"/>
      <sheetName val="optimization"/>
      <sheetName val="bias_variance"/>
      <sheetName val="logistic function"/>
      <sheetName val="logistic regression"/>
      <sheetName val="Sheet22"/>
      <sheetName val="distance"/>
      <sheetName val="KNN_classification"/>
      <sheetName val="KNN_clustering"/>
      <sheetName val="Hierachy Clustering"/>
      <sheetName val="gini"/>
      <sheetName val="confusion matrix"/>
      <sheetName val="Lift curve"/>
      <sheetName val="loss function"/>
      <sheetName val="__OpenSolverCache__"/>
      <sheetName val="__OpenSolver_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C4" t="str">
            <v>X2</v>
          </cell>
        </row>
        <row r="5">
          <cell r="B5"/>
          <cell r="C5"/>
        </row>
        <row r="6">
          <cell r="B6">
            <v>3.3935332100000002</v>
          </cell>
          <cell r="C6">
            <v>2.3312733799999998</v>
          </cell>
        </row>
        <row r="7">
          <cell r="B7">
            <v>3.1100734800000001</v>
          </cell>
          <cell r="C7">
            <v>1.7815396400000001</v>
          </cell>
        </row>
        <row r="8">
          <cell r="B8">
            <v>1.34380883</v>
          </cell>
          <cell r="C8">
            <v>3.36836095</v>
          </cell>
        </row>
        <row r="9">
          <cell r="B9">
            <v>3.5822940399999998</v>
          </cell>
          <cell r="C9">
            <v>4.6791791099999998</v>
          </cell>
        </row>
        <row r="10">
          <cell r="B10">
            <v>2.2803624400000002</v>
          </cell>
          <cell r="C10">
            <v>2.8669902600000001</v>
          </cell>
        </row>
        <row r="11">
          <cell r="B11">
            <v>7.4234369400000002</v>
          </cell>
          <cell r="C11">
            <v>4.6965228799999998</v>
          </cell>
        </row>
        <row r="12">
          <cell r="B12">
            <v>5.7450520000000003</v>
          </cell>
          <cell r="C12">
            <v>3.5339898000000001</v>
          </cell>
        </row>
        <row r="13">
          <cell r="B13">
            <v>9.1721686200000008</v>
          </cell>
          <cell r="C13">
            <v>2.5111010500000002</v>
          </cell>
        </row>
        <row r="14">
          <cell r="B14">
            <v>7.7927834799999998</v>
          </cell>
          <cell r="C14">
            <v>3.4240889399999999</v>
          </cell>
        </row>
        <row r="15">
          <cell r="B15">
            <v>7.9398208199999996</v>
          </cell>
          <cell r="C15">
            <v>0.79163722999999997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ash course"/>
      <sheetName val="covarianc_correlation"/>
      <sheetName val="linear regression"/>
      <sheetName val="__Solver__"/>
      <sheetName val="__Solver___conflict482289707"/>
      <sheetName val="simple linear regression"/>
      <sheetName val="stochastic gradient regression"/>
      <sheetName val="실전문제"/>
      <sheetName val="optimization"/>
      <sheetName val="bias_variance"/>
      <sheetName val="logistic function"/>
      <sheetName val="logistic regression"/>
      <sheetName val="Sheet22"/>
      <sheetName val="distance"/>
      <sheetName val="KNN_classification"/>
      <sheetName val="KNN_clustering"/>
      <sheetName val="Hierachy Clustering"/>
      <sheetName val="gini"/>
      <sheetName val="confusion matrix"/>
      <sheetName val="Lift curve"/>
      <sheetName val="loss function"/>
      <sheetName val="__OpenSolverCache__"/>
      <sheetName val="__OpenSolver_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I2" t="str">
            <v>square(error)</v>
          </cell>
        </row>
        <row r="3">
          <cell r="B3">
            <v>0</v>
          </cell>
          <cell r="I3">
            <v>1</v>
          </cell>
        </row>
        <row r="4">
          <cell r="B4">
            <v>1</v>
          </cell>
          <cell r="I4">
            <v>8.8209000000000017</v>
          </cell>
        </row>
        <row r="5">
          <cell r="B5">
            <v>2</v>
          </cell>
          <cell r="I5">
            <v>7.19687929</v>
          </cell>
        </row>
        <row r="6">
          <cell r="B6">
            <v>3</v>
          </cell>
          <cell r="I6">
            <v>1.969388415801</v>
          </cell>
        </row>
        <row r="7">
          <cell r="B7">
            <v>4</v>
          </cell>
          <cell r="I7">
            <v>14.633663431736062</v>
          </cell>
        </row>
        <row r="8">
          <cell r="B8">
            <v>5</v>
          </cell>
          <cell r="I8">
            <v>0.22194200369086989</v>
          </cell>
        </row>
        <row r="9">
          <cell r="B9">
            <v>6</v>
          </cell>
          <cell r="I9">
            <v>4.1897818678498373</v>
          </cell>
        </row>
        <row r="10">
          <cell r="B10">
            <v>7</v>
          </cell>
          <cell r="I10">
            <v>1.0672878740208818</v>
          </cell>
        </row>
        <row r="11">
          <cell r="B11">
            <v>8</v>
          </cell>
          <cell r="I11">
            <v>0.12568517920880753</v>
          </cell>
        </row>
        <row r="12">
          <cell r="B12">
            <v>9</v>
          </cell>
          <cell r="I12">
            <v>5.3070123107028477</v>
          </cell>
        </row>
        <row r="13">
          <cell r="B13">
            <v>10</v>
          </cell>
          <cell r="I13">
            <v>3.85026100374656E-2</v>
          </cell>
        </row>
        <row r="14">
          <cell r="B14">
            <v>11</v>
          </cell>
          <cell r="I14">
            <v>2.4569391016493785</v>
          </cell>
        </row>
        <row r="15">
          <cell r="B15">
            <v>12</v>
          </cell>
          <cell r="I15">
            <v>3.1231178397966845E-2</v>
          </cell>
        </row>
        <row r="16">
          <cell r="B16">
            <v>13</v>
          </cell>
          <cell r="I16">
            <v>3.612568223565546E-2</v>
          </cell>
        </row>
        <row r="17">
          <cell r="B17">
            <v>14</v>
          </cell>
          <cell r="I17">
            <v>2.2917094697255926</v>
          </cell>
        </row>
        <row r="18">
          <cell r="B18">
            <v>15</v>
          </cell>
          <cell r="I18">
            <v>2.8311652984931387E-3</v>
          </cell>
        </row>
        <row r="19">
          <cell r="B19">
            <v>16</v>
          </cell>
          <cell r="I19">
            <v>1.7381008650901391</v>
          </cell>
        </row>
        <row r="20">
          <cell r="B20">
            <v>17</v>
          </cell>
          <cell r="I20">
            <v>7.1733331777916715E-2</v>
          </cell>
        </row>
        <row r="21">
          <cell r="B21">
            <v>18</v>
          </cell>
          <cell r="I21">
            <v>0.2236073499825699</v>
          </cell>
        </row>
        <row r="22">
          <cell r="B22">
            <v>19</v>
          </cell>
          <cell r="I22">
            <v>1.2186651984285068</v>
          </cell>
        </row>
        <row r="23">
          <cell r="B23">
            <v>20</v>
          </cell>
          <cell r="I23">
            <v>4.5522921559151814E-4</v>
          </cell>
        </row>
        <row r="24">
          <cell r="B24">
            <v>21</v>
          </cell>
          <cell r="I24">
            <v>1.4134008718606677</v>
          </cell>
        </row>
        <row r="25">
          <cell r="B25">
            <v>22</v>
          </cell>
          <cell r="I25">
            <v>0.24858501801129906</v>
          </cell>
        </row>
        <row r="26">
          <cell r="B26">
            <v>23</v>
          </cell>
          <cell r="I26">
            <v>0.38410823655117227</v>
          </cell>
        </row>
        <row r="27">
          <cell r="B27">
            <v>24</v>
          </cell>
          <cell r="I27">
            <v>0.79437863256328634</v>
          </cell>
        </row>
        <row r="28">
          <cell r="B28">
            <v>25</v>
          </cell>
          <cell r="I28">
            <v>3.6399931847746971E-3</v>
          </cell>
        </row>
        <row r="29">
          <cell r="B29">
            <v>26</v>
          </cell>
          <cell r="I29">
            <v>1.2576441762091377</v>
          </cell>
        </row>
        <row r="30">
          <cell r="B30">
            <v>27</v>
          </cell>
          <cell r="I30">
            <v>0.3823403625094185</v>
          </cell>
        </row>
        <row r="31">
          <cell r="B31">
            <v>28</v>
          </cell>
          <cell r="I31">
            <v>0.48455118707835559</v>
          </cell>
        </row>
        <row r="32">
          <cell r="B32">
            <v>29</v>
          </cell>
          <cell r="I32">
            <v>0.61001349681572969</v>
          </cell>
        </row>
        <row r="33">
          <cell r="B33">
            <v>30</v>
          </cell>
          <cell r="I33">
            <v>6.5400253414368602E-3</v>
          </cell>
        </row>
        <row r="34">
          <cell r="B34">
            <v>31</v>
          </cell>
          <cell r="I34">
            <v>1.1799705917827319</v>
          </cell>
        </row>
        <row r="35">
          <cell r="B35">
            <v>32</v>
          </cell>
          <cell r="I35">
            <v>0.46303157966952013</v>
          </cell>
        </row>
        <row r="36">
          <cell r="B36">
            <v>33</v>
          </cell>
          <cell r="I36">
            <v>0.54139593698432842</v>
          </cell>
        </row>
        <row r="37">
          <cell r="B37">
            <v>34</v>
          </cell>
          <cell r="I37">
            <v>0.524107756367995</v>
          </cell>
        </row>
        <row r="38">
          <cell r="B38">
            <v>35</v>
          </cell>
          <cell r="I38">
            <v>8.4314753226826036E-3</v>
          </cell>
        </row>
        <row r="39">
          <cell r="B39">
            <v>36</v>
          </cell>
          <cell r="I39">
            <v>1.1402367199486065</v>
          </cell>
        </row>
        <row r="40">
          <cell r="B40">
            <v>37</v>
          </cell>
          <cell r="I40">
            <v>0.50790487377102134</v>
          </cell>
        </row>
        <row r="41">
          <cell r="B41">
            <v>38</v>
          </cell>
          <cell r="I41">
            <v>0.57225544992937338</v>
          </cell>
        </row>
        <row r="42">
          <cell r="B42">
            <v>39</v>
          </cell>
          <cell r="I42">
            <v>0.48229163090065885</v>
          </cell>
        </row>
        <row r="43">
          <cell r="B43">
            <v>40</v>
          </cell>
          <cell r="I43">
            <v>9.5642035897817515E-3</v>
          </cell>
        </row>
        <row r="44">
          <cell r="B44">
            <v>41</v>
          </cell>
          <cell r="I44">
            <v>1.1194987909252188</v>
          </cell>
        </row>
        <row r="45">
          <cell r="B45">
            <v>42</v>
          </cell>
          <cell r="I45">
            <v>0.53195581819984916</v>
          </cell>
        </row>
        <row r="46">
          <cell r="B46">
            <v>43</v>
          </cell>
          <cell r="I46">
            <v>0.58871914776151402</v>
          </cell>
        </row>
        <row r="47">
          <cell r="B47">
            <v>44</v>
          </cell>
          <cell r="I47">
            <v>0.46147459312013484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ression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표2" displayName="표2" ref="D4:G24" totalsRowShown="0" headerRowDxfId="8" dataDxfId="7" headerRowCellStyle="쉼표 [0]" dataCellStyle="쉼표 [0]">
  <autoFilter ref="D4:G24" xr:uid="{00000000-0009-0000-0100-000002000000}"/>
  <sortState xmlns:xlrd2="http://schemas.microsoft.com/office/spreadsheetml/2017/richdata2" ref="D5:G24">
    <sortCondition ref="E4:E24"/>
  </sortState>
  <tableColumns count="4">
    <tableColumn id="1" xr3:uid="{00000000-0010-0000-0000-000001000000}" name="y" dataDxfId="6" dataCellStyle="쉼표 [0]">
      <calculatedColumnFormula>RANDBETWEEN(0,1)</calculatedColumnFormula>
    </tableColumn>
    <tableColumn id="2" xr3:uid="{00000000-0010-0000-0000-000002000000}" name="p" dataDxfId="5" dataCellStyle="쉼표 [0]">
      <calculatedColumnFormula>RAND()</calculatedColumnFormula>
    </tableColumn>
    <tableColumn id="3" xr3:uid="{00000000-0010-0000-0000-000003000000}" name="y*log(p)" dataDxfId="4" dataCellStyle="쉼표 [0]">
      <calculatedColumnFormula>-D5*LN(E5)</calculatedColumnFormula>
    </tableColumn>
    <tableColumn id="4" xr3:uid="{00000000-0010-0000-0000-000004000000}" name="(1-y)*log(1-p)" dataDxfId="3" dataCellStyle="쉼표 [0]">
      <calculatedColumnFormula>-(1-D5)*LN(1-E5)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표3" displayName="표3" ref="C4:C24" totalsRowShown="0" headerRowDxfId="2" dataDxfId="1" headerRowCellStyle="쉼표 [0]" dataCellStyle="쉼표 [0]">
  <autoFilter ref="C4:C24" xr:uid="{00000000-0009-0000-0100-000003000000}"/>
  <tableColumns count="1">
    <tableColumn id="1" xr3:uid="{00000000-0010-0000-0100-000001000000}" name="ID" dataDxfId="0" dataCellStyle="쉼표 [0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en.wikipedia.org/wiki/Linear_regression" TargetMode="External"/><Relationship Id="rId1" Type="http://schemas.openxmlformats.org/officeDocument/2006/relationships/hyperlink" Target="https://www.youtube.com/watch?v=yZXNS5AxmIY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68"/>
  <sheetViews>
    <sheetView showGridLines="0" tabSelected="1" workbookViewId="0">
      <selection activeCell="D11" sqref="D11"/>
    </sheetView>
  </sheetViews>
  <sheetFormatPr defaultColWidth="13.44140625" defaultRowHeight="15.75" customHeight="1"/>
  <cols>
    <col min="1" max="1" width="21.33203125" style="126" bestFit="1" customWidth="1"/>
    <col min="2" max="2" width="16.21875" style="126" bestFit="1" customWidth="1"/>
    <col min="3" max="16384" width="13.44140625" style="126"/>
  </cols>
  <sheetData>
    <row r="1" spans="1:3" ht="12.6">
      <c r="A1" s="122" t="s">
        <v>0</v>
      </c>
      <c r="B1" s="125"/>
      <c r="C1" s="118"/>
    </row>
    <row r="2" spans="1:3" ht="12.6">
      <c r="A2" s="118"/>
      <c r="B2" s="118"/>
      <c r="C2" s="118"/>
    </row>
    <row r="3" spans="1:3" ht="12.6">
      <c r="A3" s="119" t="s">
        <v>1</v>
      </c>
      <c r="B3" s="118"/>
      <c r="C3" s="118"/>
    </row>
    <row r="4" spans="1:3" ht="12.6">
      <c r="A4" s="118" t="s">
        <v>2</v>
      </c>
      <c r="B4" s="120">
        <v>2</v>
      </c>
      <c r="C4" s="118"/>
    </row>
    <row r="5" spans="1:3" ht="12.6">
      <c r="A5" s="118"/>
      <c r="B5" s="118"/>
      <c r="C5" s="118"/>
    </row>
    <row r="6" spans="1:3" ht="12.6">
      <c r="A6" s="118" t="s">
        <v>3</v>
      </c>
      <c r="B6" s="118"/>
      <c r="C6" s="118"/>
    </row>
    <row r="7" spans="1:3" ht="12.6">
      <c r="A7" s="120">
        <v>1</v>
      </c>
      <c r="B7" s="120">
        <v>2</v>
      </c>
      <c r="C7" s="120">
        <v>3</v>
      </c>
    </row>
    <row r="8" spans="1:3" ht="12.6">
      <c r="A8" s="120">
        <f>SUM(A7:C7)</f>
        <v>6</v>
      </c>
      <c r="B8" s="118"/>
      <c r="C8" s="118"/>
    </row>
    <row r="9" spans="1:3" ht="12.6">
      <c r="A9" s="118"/>
      <c r="B9" s="118"/>
      <c r="C9" s="118"/>
    </row>
    <row r="10" spans="1:3" ht="12.6">
      <c r="A10" s="118" t="s">
        <v>4</v>
      </c>
      <c r="B10" s="118"/>
      <c r="C10" s="118"/>
    </row>
    <row r="11" spans="1:3" ht="12.6">
      <c r="A11" s="120">
        <f>COUNT(A7:C7)</f>
        <v>3</v>
      </c>
      <c r="B11" s="118"/>
      <c r="C11" s="118"/>
    </row>
    <row r="12" spans="1:3" ht="12.6">
      <c r="A12" s="118"/>
      <c r="B12" s="118"/>
      <c r="C12" s="118"/>
    </row>
    <row r="13" spans="1:3" ht="12.6">
      <c r="A13" s="118" t="s">
        <v>5</v>
      </c>
      <c r="B13" s="118" t="s">
        <v>6</v>
      </c>
      <c r="C13" s="118" t="s">
        <v>7</v>
      </c>
    </row>
    <row r="14" spans="1:3" ht="12.6">
      <c r="A14" s="120">
        <f>2^2</f>
        <v>4</v>
      </c>
      <c r="B14" s="120">
        <f>LOG(2)</f>
        <v>0.3010299956639812</v>
      </c>
      <c r="C14" s="120">
        <f>SQRT(2)</f>
        <v>1.4142135623730951</v>
      </c>
    </row>
    <row r="15" spans="1:3" ht="12.6">
      <c r="A15" s="118"/>
      <c r="B15" s="118"/>
      <c r="C15" s="118"/>
    </row>
    <row r="16" spans="1:3" ht="12.6">
      <c r="A16" s="118" t="s">
        <v>8</v>
      </c>
      <c r="B16" s="118" t="s">
        <v>9</v>
      </c>
      <c r="C16" s="118"/>
    </row>
    <row r="17" spans="1:3" ht="12.6">
      <c r="A17" s="120">
        <f>EXP(2)</f>
        <v>7.3890560989306504</v>
      </c>
      <c r="B17" s="120">
        <v>2</v>
      </c>
      <c r="C17" s="118"/>
    </row>
    <row r="18" spans="1:3" ht="12.6">
      <c r="A18" s="118"/>
      <c r="B18" s="118"/>
      <c r="C18" s="118"/>
    </row>
    <row r="19" spans="1:3" ht="12.6">
      <c r="A19" s="118" t="s">
        <v>10</v>
      </c>
      <c r="B19" s="118"/>
      <c r="C19" s="118"/>
    </row>
    <row r="20" spans="1:3" ht="12.6">
      <c r="A20" s="120">
        <v>3.1415926540000001</v>
      </c>
      <c r="B20" s="118"/>
      <c r="C20" s="118"/>
    </row>
    <row r="21" spans="1:3" ht="12.6">
      <c r="A21" s="118"/>
      <c r="B21" s="118"/>
      <c r="C21" s="118"/>
    </row>
    <row r="22" spans="1:3" ht="12.6">
      <c r="A22" s="118"/>
      <c r="B22" s="118"/>
      <c r="C22" s="118"/>
    </row>
    <row r="23" spans="1:3" ht="12.6">
      <c r="A23" s="117" t="s">
        <v>11</v>
      </c>
      <c r="B23" s="128"/>
      <c r="C23" s="118"/>
    </row>
    <row r="24" spans="1:3" ht="12.6">
      <c r="A24" s="118"/>
      <c r="B24" s="118"/>
      <c r="C24" s="118"/>
    </row>
    <row r="25" spans="1:3" ht="12.6">
      <c r="A25" s="118" t="s">
        <v>12</v>
      </c>
      <c r="B25" s="118"/>
      <c r="C25" s="118"/>
    </row>
    <row r="26" spans="1:3" ht="12.6">
      <c r="A26" s="120">
        <v>4</v>
      </c>
      <c r="B26" s="120">
        <v>5</v>
      </c>
      <c r="C26" s="120">
        <v>8</v>
      </c>
    </row>
    <row r="27" spans="1:3" ht="12.6">
      <c r="A27" s="121">
        <f>AVERAGE(A26:C26)</f>
        <v>5.666666666666667</v>
      </c>
      <c r="B27" s="118"/>
      <c r="C27" s="118"/>
    </row>
    <row r="28" spans="1:3" ht="12.6">
      <c r="A28" s="118"/>
      <c r="B28" s="118"/>
      <c r="C28" s="118"/>
    </row>
    <row r="29" spans="1:3" ht="12.6">
      <c r="A29" s="122" t="s">
        <v>13</v>
      </c>
      <c r="B29" s="125"/>
      <c r="C29" s="118"/>
    </row>
    <row r="30" spans="1:3" ht="12.6">
      <c r="A30" s="120">
        <v>1</v>
      </c>
      <c r="B30" s="120">
        <v>2</v>
      </c>
      <c r="C30" s="120">
        <v>3</v>
      </c>
    </row>
    <row r="31" spans="1:3" ht="12.6">
      <c r="A31" s="121">
        <f>STDEV(A30:C30)</f>
        <v>1</v>
      </c>
      <c r="B31" s="118"/>
      <c r="C31" s="118"/>
    </row>
    <row r="32" spans="1:3" ht="12.6">
      <c r="A32" s="118"/>
      <c r="B32" s="118"/>
      <c r="C32" s="118"/>
    </row>
    <row r="33" spans="1:6" ht="12.6">
      <c r="A33" s="118" t="s">
        <v>14</v>
      </c>
      <c r="B33" s="118"/>
      <c r="C33" s="118"/>
    </row>
    <row r="34" spans="1:6" ht="12.6">
      <c r="A34" s="120">
        <v>2</v>
      </c>
      <c r="B34" s="120">
        <v>3</v>
      </c>
      <c r="C34" s="120">
        <v>4</v>
      </c>
    </row>
    <row r="35" spans="1:6" ht="12.6">
      <c r="A35" s="120">
        <v>4</v>
      </c>
      <c r="B35" s="120">
        <v>8</v>
      </c>
      <c r="C35" s="120">
        <v>-12</v>
      </c>
    </row>
    <row r="36" spans="1:6" ht="12.6">
      <c r="A36" s="121">
        <f>CORREL(A34:C34,A35:C35)</f>
        <v>-0.75592894601845428</v>
      </c>
      <c r="B36" s="118"/>
      <c r="C36" s="118"/>
    </row>
    <row r="37" spans="1:6" ht="12.6">
      <c r="A37" s="118"/>
      <c r="B37" s="118"/>
      <c r="C37" s="118"/>
    </row>
    <row r="38" spans="1:6" ht="12.6">
      <c r="A38" s="118" t="s">
        <v>15</v>
      </c>
      <c r="B38" s="118"/>
      <c r="C38" s="118"/>
    </row>
    <row r="39" spans="1:6" ht="12.6">
      <c r="A39" s="120">
        <v>2</v>
      </c>
      <c r="B39" s="120">
        <v>3</v>
      </c>
      <c r="C39" s="120">
        <v>3</v>
      </c>
      <c r="D39" s="118">
        <v>3</v>
      </c>
      <c r="E39" s="118">
        <v>3</v>
      </c>
      <c r="F39" s="118">
        <v>2</v>
      </c>
    </row>
    <row r="40" spans="1:6" ht="12.6">
      <c r="A40" s="121">
        <f>MODE(A39:F39)</f>
        <v>3</v>
      </c>
      <c r="B40" s="118"/>
      <c r="C40" s="118"/>
    </row>
    <row r="41" spans="1:6" ht="12.6">
      <c r="A41" s="118"/>
      <c r="B41" s="118"/>
      <c r="C41" s="118"/>
    </row>
    <row r="42" spans="1:6" ht="12.6">
      <c r="A42" s="123" t="s">
        <v>158</v>
      </c>
      <c r="B42" s="127"/>
      <c r="C42" s="118"/>
    </row>
    <row r="43" spans="1:6" ht="12.6">
      <c r="A43" s="123"/>
      <c r="B43" s="127"/>
      <c r="C43" s="118"/>
    </row>
    <row r="44" spans="1:6" ht="12.6">
      <c r="A44" s="118" t="s">
        <v>156</v>
      </c>
      <c r="B44" s="118"/>
      <c r="C44" s="118"/>
    </row>
    <row r="45" spans="1:6" ht="15.75" customHeight="1">
      <c r="A45" s="118" t="s">
        <v>154</v>
      </c>
      <c r="B45" s="118" t="s">
        <v>155</v>
      </c>
      <c r="C45" s="118"/>
    </row>
    <row r="46" spans="1:6" ht="12.6">
      <c r="A46" s="121">
        <f ca="1">RAND()</f>
        <v>3.2899864115009225E-2</v>
      </c>
      <c r="B46" s="121">
        <f ca="1">RAND()*9+1</f>
        <v>7.2183340795726512</v>
      </c>
      <c r="C46" s="118"/>
    </row>
    <row r="47" spans="1:6" ht="12.6">
      <c r="A47" s="118"/>
      <c r="B47" s="118"/>
      <c r="C47" s="118"/>
    </row>
    <row r="48" spans="1:6" ht="12.6">
      <c r="A48" s="118"/>
      <c r="B48" s="118"/>
      <c r="C48" s="133" t="s">
        <v>153</v>
      </c>
      <c r="D48" s="133"/>
    </row>
    <row r="49" spans="1:6" ht="15.6">
      <c r="A49" s="118" t="s">
        <v>159</v>
      </c>
      <c r="B49" s="135" t="s">
        <v>162</v>
      </c>
      <c r="C49" s="136" t="s">
        <v>163</v>
      </c>
      <c r="D49" s="137"/>
    </row>
    <row r="50" spans="1:6" ht="12.6">
      <c r="A50" s="118"/>
      <c r="B50" s="138">
        <v>1</v>
      </c>
      <c r="C50" s="139">
        <v>0.5</v>
      </c>
      <c r="D50" s="140"/>
    </row>
    <row r="51" spans="1:6" ht="12.6">
      <c r="A51" s="149">
        <f ca="1" xml:space="preserve"> CRITBINOM(B50, C50, RAND())</f>
        <v>0</v>
      </c>
      <c r="B51" s="141"/>
      <c r="C51" s="142"/>
      <c r="D51" s="143"/>
      <c r="E51" s="120"/>
      <c r="F51" s="120"/>
    </row>
    <row r="52" spans="1:6" ht="12.6">
      <c r="A52" s="120"/>
      <c r="B52" s="141"/>
      <c r="C52" s="142"/>
      <c r="D52" s="143"/>
      <c r="E52" s="120"/>
      <c r="F52" s="120"/>
    </row>
    <row r="53" spans="1:6" ht="12.6">
      <c r="A53" s="118" t="s">
        <v>152</v>
      </c>
      <c r="B53" s="141"/>
      <c r="C53" s="142"/>
      <c r="D53" s="144"/>
    </row>
    <row r="54" spans="1:6" ht="12.6">
      <c r="B54" s="145">
        <v>10000000</v>
      </c>
      <c r="C54" s="142">
        <v>0.5</v>
      </c>
      <c r="D54" s="144">
        <f>1-C54</f>
        <v>0.5</v>
      </c>
    </row>
    <row r="55" spans="1:6" ht="12.6">
      <c r="A55" s="132">
        <f ca="1" xml:space="preserve"> CRITBINOM(B54, C54, RAND())</f>
        <v>4997102</v>
      </c>
      <c r="B55" s="146"/>
      <c r="C55" s="147"/>
      <c r="D55" s="148"/>
    </row>
    <row r="56" spans="1:6" ht="12.6">
      <c r="A56" s="118"/>
      <c r="B56" s="118"/>
      <c r="C56" s="118"/>
    </row>
    <row r="57" spans="1:6" ht="15.6">
      <c r="A57" s="118" t="s">
        <v>157</v>
      </c>
      <c r="B57" s="134" t="s">
        <v>160</v>
      </c>
      <c r="C57" s="120" t="s">
        <v>161</v>
      </c>
    </row>
    <row r="58" spans="1:6" ht="12.6">
      <c r="B58" s="130">
        <f>B54*C54</f>
        <v>5000000</v>
      </c>
      <c r="C58" s="129">
        <f>SQRT(B54*C54*D54)</f>
        <v>1581.1388300841897</v>
      </c>
    </row>
    <row r="59" spans="1:6" ht="12.6">
      <c r="A59" s="131">
        <f ca="1">_xlfn.NORM.INV(RAND(), B58, C58)</f>
        <v>5000842.2116164807</v>
      </c>
      <c r="B59" s="118"/>
      <c r="C59" s="118"/>
    </row>
    <row r="60" spans="1:6" ht="12.6">
      <c r="A60" s="118"/>
      <c r="B60" s="118"/>
      <c r="C60" s="118"/>
    </row>
    <row r="61" spans="1:6" ht="12.6">
      <c r="A61" s="118" t="s">
        <v>16</v>
      </c>
      <c r="B61" s="118"/>
      <c r="C61" s="118"/>
    </row>
    <row r="62" spans="1:6" ht="12.6">
      <c r="A62" s="118"/>
      <c r="B62" s="118"/>
      <c r="C62" s="118"/>
    </row>
    <row r="63" spans="1:6" ht="12.6">
      <c r="A63" s="118" t="s">
        <v>151</v>
      </c>
      <c r="B63" s="118"/>
      <c r="C63" s="118"/>
    </row>
    <row r="64" spans="1:6" ht="12.6">
      <c r="A64" s="118"/>
      <c r="B64" s="118"/>
      <c r="C64" s="118"/>
    </row>
    <row r="65" spans="3:3" ht="15.75" customHeight="1">
      <c r="C65" s="118"/>
    </row>
    <row r="66" spans="3:3" ht="15.75" customHeight="1">
      <c r="C66" s="118"/>
    </row>
    <row r="67" spans="3:3" ht="15.75" customHeight="1">
      <c r="C67" s="118"/>
    </row>
    <row r="68" spans="3:3" ht="15.75" customHeight="1">
      <c r="C68" s="118"/>
    </row>
  </sheetData>
  <mergeCells count="4">
    <mergeCell ref="A1:B1"/>
    <mergeCell ref="A23:B23"/>
    <mergeCell ref="A29:B29"/>
    <mergeCell ref="C48:D48"/>
  </mergeCells>
  <phoneticPr fontId="2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2C94-0985-4066-8E41-9C248BBEF6E6}">
  <dimension ref="A1:R41"/>
  <sheetViews>
    <sheetView showGridLines="0" topLeftCell="A13" workbookViewId="0">
      <selection activeCell="J35" sqref="J35"/>
    </sheetView>
  </sheetViews>
  <sheetFormatPr defaultRowHeight="13.2"/>
  <cols>
    <col min="1" max="1" width="6" style="89" bestFit="1" customWidth="1"/>
    <col min="2" max="2" width="9.109375" style="89" bestFit="1" customWidth="1"/>
    <col min="3" max="3" width="8.44140625" style="89" bestFit="1" customWidth="1"/>
    <col min="4" max="4" width="9.109375" style="89" bestFit="1" customWidth="1"/>
    <col min="5" max="5" width="8.88671875" style="89"/>
    <col min="6" max="6" width="9.109375" style="89" bestFit="1" customWidth="1"/>
    <col min="7" max="7" width="8.44140625" style="89" bestFit="1" customWidth="1"/>
    <col min="8" max="8" width="9.109375" style="89" bestFit="1" customWidth="1"/>
    <col min="9" max="16384" width="8.88671875" style="89"/>
  </cols>
  <sheetData>
    <row r="1" spans="2:13">
      <c r="B1" s="120" t="s">
        <v>156</v>
      </c>
      <c r="C1" s="150" t="s">
        <v>152</v>
      </c>
      <c r="D1" s="150" t="s">
        <v>157</v>
      </c>
      <c r="F1" s="120" t="s">
        <v>156</v>
      </c>
      <c r="G1" s="150" t="s">
        <v>152</v>
      </c>
      <c r="H1" s="150" t="s">
        <v>157</v>
      </c>
    </row>
    <row r="2" spans="2:13">
      <c r="B2" s="151">
        <f ca="1">RAND()</f>
        <v>0.23984477792125269</v>
      </c>
      <c r="C2" s="89">
        <f ca="1" xml:space="preserve"> CRITBINOM(1000, 0.5, RAND())</f>
        <v>500</v>
      </c>
      <c r="D2" s="151">
        <f ca="1">_xlfn.NORM.INV(RAND(), 0, 1)</f>
        <v>2.0167704089416807</v>
      </c>
      <c r="E2" s="151"/>
      <c r="F2" s="151">
        <f ca="1">(B2-B$32)/B$33</f>
        <v>-0.7457322794123219</v>
      </c>
      <c r="G2" s="151">
        <f t="shared" ref="G2:H17" ca="1" si="0">(C2-C$32)/C$33</f>
        <v>0.39591242067126836</v>
      </c>
      <c r="H2" s="151">
        <f t="shared" ca="1" si="0"/>
        <v>2.2638056410905287</v>
      </c>
    </row>
    <row r="3" spans="2:13">
      <c r="B3" s="151">
        <f t="shared" ref="B3:B31" ca="1" si="1">RAND()</f>
        <v>0.23896526502036042</v>
      </c>
      <c r="C3" s="89">
        <f t="shared" ref="C3:C31" ca="1" si="2" xml:space="preserve"> CRITBINOM(1000, 0.5, RAND())</f>
        <v>499</v>
      </c>
      <c r="D3" s="151">
        <f t="shared" ref="D3:D31" ca="1" si="3">_xlfn.NORM.INV(RAND(), 0, 1)</f>
        <v>0.80592563032000986</v>
      </c>
      <c r="E3" s="151"/>
      <c r="F3" s="151">
        <f t="shared" ref="F3:F31" ca="1" si="4">(B3-B$32)/B$33</f>
        <v>-0.74854896526220305</v>
      </c>
      <c r="G3" s="151">
        <f t="shared" ca="1" si="0"/>
        <v>0.30921627015931175</v>
      </c>
      <c r="H3" s="151">
        <f t="shared" ca="1" si="0"/>
        <v>1.102765123726156</v>
      </c>
      <c r="L3" s="152"/>
      <c r="M3" s="150" t="s">
        <v>164</v>
      </c>
    </row>
    <row r="4" spans="2:13">
      <c r="B4" s="151">
        <f t="shared" ca="1" si="1"/>
        <v>0.83739979029526423</v>
      </c>
      <c r="C4" s="89">
        <f t="shared" ca="1" si="2"/>
        <v>515</v>
      </c>
      <c r="D4" s="151">
        <f t="shared" ca="1" si="3"/>
        <v>-0.45604134047188205</v>
      </c>
      <c r="E4" s="151"/>
      <c r="F4" s="151">
        <f t="shared" ca="1" si="4"/>
        <v>1.1679687546167774</v>
      </c>
      <c r="G4" s="151">
        <f t="shared" ca="1" si="0"/>
        <v>1.6963546783506183</v>
      </c>
      <c r="H4" s="151">
        <f t="shared" ca="1" si="0"/>
        <v>-0.10729483650493936</v>
      </c>
    </row>
    <row r="5" spans="2:13">
      <c r="B5" s="151">
        <f t="shared" ca="1" si="1"/>
        <v>0.36080684399912655</v>
      </c>
      <c r="C5" s="89">
        <f t="shared" ca="1" si="2"/>
        <v>473</v>
      </c>
      <c r="D5" s="151">
        <f t="shared" ca="1" si="3"/>
        <v>-1.6261587262621431</v>
      </c>
      <c r="E5" s="151"/>
      <c r="F5" s="151">
        <f t="shared" ca="1" si="4"/>
        <v>-0.35834496587969589</v>
      </c>
      <c r="G5" s="151">
        <f t="shared" ca="1" si="0"/>
        <v>-1.9448836431515613</v>
      </c>
      <c r="H5" s="151">
        <f t="shared" ca="1" si="0"/>
        <v>-1.2292831532249746</v>
      </c>
    </row>
    <row r="6" spans="2:13">
      <c r="B6" s="151">
        <f t="shared" ca="1" si="1"/>
        <v>0.96111878259635397</v>
      </c>
      <c r="C6" s="89">
        <f t="shared" ca="1" si="2"/>
        <v>508</v>
      </c>
      <c r="D6" s="151">
        <f t="shared" ca="1" si="3"/>
        <v>-1.6465246910748699</v>
      </c>
      <c r="E6" s="151"/>
      <c r="F6" s="151">
        <f t="shared" ca="1" si="4"/>
        <v>1.5641852678964685</v>
      </c>
      <c r="G6" s="151">
        <f t="shared" ca="1" si="0"/>
        <v>1.0894816247669217</v>
      </c>
      <c r="H6" s="151">
        <f t="shared" ca="1" si="0"/>
        <v>-1.2488114286408452</v>
      </c>
    </row>
    <row r="7" spans="2:13">
      <c r="B7" s="151">
        <f t="shared" ca="1" si="1"/>
        <v>0.557336596302899</v>
      </c>
      <c r="C7" s="89">
        <f t="shared" ca="1" si="2"/>
        <v>486</v>
      </c>
      <c r="D7" s="151">
        <f t="shared" ca="1" si="3"/>
        <v>-2.0190313591516738</v>
      </c>
      <c r="E7" s="151"/>
      <c r="F7" s="151">
        <f t="shared" ca="1" si="4"/>
        <v>0.27105179661588907</v>
      </c>
      <c r="G7" s="151">
        <f t="shared" ca="1" si="0"/>
        <v>-0.81783368649612476</v>
      </c>
      <c r="H7" s="151">
        <f t="shared" ca="1" si="0"/>
        <v>-1.6059962158750019</v>
      </c>
    </row>
    <row r="8" spans="2:13">
      <c r="B8" s="151">
        <f t="shared" ca="1" si="1"/>
        <v>0.22402962800032189</v>
      </c>
      <c r="C8" s="89">
        <f t="shared" ca="1" si="2"/>
        <v>482</v>
      </c>
      <c r="D8" s="151">
        <f t="shared" ca="1" si="3"/>
        <v>1.7284105209387429E-2</v>
      </c>
      <c r="E8" s="151"/>
      <c r="F8" s="151">
        <f t="shared" ca="1" si="4"/>
        <v>-0.79638112032283415</v>
      </c>
      <c r="G8" s="151">
        <f t="shared" ca="1" si="0"/>
        <v>-1.1646182885439513</v>
      </c>
      <c r="H8" s="151">
        <f t="shared" ca="1" si="0"/>
        <v>0.34656186754020457</v>
      </c>
    </row>
    <row r="9" spans="2:13">
      <c r="B9" s="151">
        <f t="shared" ca="1" si="1"/>
        <v>0.35366526892408456</v>
      </c>
      <c r="C9" s="89">
        <f t="shared" ca="1" si="2"/>
        <v>492</v>
      </c>
      <c r="D9" s="151">
        <f t="shared" ca="1" si="3"/>
        <v>0.82259103440732717</v>
      </c>
      <c r="E9" s="151"/>
      <c r="F9" s="151">
        <f t="shared" ca="1" si="4"/>
        <v>-0.38121623182625308</v>
      </c>
      <c r="G9" s="151">
        <f t="shared" ca="1" si="0"/>
        <v>-0.29765678342438484</v>
      </c>
      <c r="H9" s="151">
        <f t="shared" ca="1" si="0"/>
        <v>1.1187450492502606</v>
      </c>
    </row>
    <row r="10" spans="2:13">
      <c r="B10" s="151">
        <f t="shared" ca="1" si="1"/>
        <v>0.1680155163954381</v>
      </c>
      <c r="C10" s="89">
        <f t="shared" ca="1" si="2"/>
        <v>488</v>
      </c>
      <c r="D10" s="151">
        <f t="shared" ca="1" si="3"/>
        <v>-7.1204249145178339E-2</v>
      </c>
      <c r="E10" s="151"/>
      <c r="F10" s="151">
        <f t="shared" ca="1" si="4"/>
        <v>-0.97576922866221205</v>
      </c>
      <c r="G10" s="151">
        <f t="shared" ca="1" si="0"/>
        <v>-0.64444138547221141</v>
      </c>
      <c r="H10" s="151">
        <f t="shared" ca="1" si="0"/>
        <v>0.26171320110956892</v>
      </c>
    </row>
    <row r="11" spans="2:13">
      <c r="B11" s="151">
        <f t="shared" ca="1" si="1"/>
        <v>0.1727765670511201</v>
      </c>
      <c r="C11" s="89">
        <f t="shared" ca="1" si="2"/>
        <v>500</v>
      </c>
      <c r="D11" s="151">
        <f t="shared" ca="1" si="3"/>
        <v>-0.96235844161039219</v>
      </c>
      <c r="E11" s="151"/>
      <c r="F11" s="151">
        <f t="shared" ca="1" si="4"/>
        <v>-0.96052171609153536</v>
      </c>
      <c r="G11" s="151">
        <f t="shared" ca="1" si="0"/>
        <v>0.39591242067126836</v>
      </c>
      <c r="H11" s="151">
        <f t="shared" ca="1" si="0"/>
        <v>-0.59278618885272116</v>
      </c>
    </row>
    <row r="12" spans="2:13">
      <c r="B12" s="151">
        <f t="shared" ca="1" si="1"/>
        <v>0.66246709678411941</v>
      </c>
      <c r="C12" s="89">
        <f t="shared" ca="1" si="2"/>
        <v>489</v>
      </c>
      <c r="D12" s="151">
        <f t="shared" ca="1" si="3"/>
        <v>-0.68353864477065984</v>
      </c>
      <c r="E12" s="151"/>
      <c r="F12" s="151">
        <f t="shared" ca="1" si="4"/>
        <v>0.60773769718195081</v>
      </c>
      <c r="G12" s="151">
        <f t="shared" ca="1" si="0"/>
        <v>-0.55774523496025474</v>
      </c>
      <c r="H12" s="151">
        <f t="shared" ca="1" si="0"/>
        <v>-0.32543476042047359</v>
      </c>
    </row>
    <row r="13" spans="2:13">
      <c r="B13" s="151">
        <f t="shared" ca="1" si="1"/>
        <v>0.14507446211432073</v>
      </c>
      <c r="C13" s="89">
        <f t="shared" ca="1" si="2"/>
        <v>514</v>
      </c>
      <c r="D13" s="151">
        <f t="shared" ca="1" si="3"/>
        <v>0.61431910607058038</v>
      </c>
      <c r="E13" s="151"/>
      <c r="F13" s="151">
        <f t="shared" ca="1" si="4"/>
        <v>-1.049239149239187</v>
      </c>
      <c r="G13" s="151">
        <f t="shared" ca="1" si="0"/>
        <v>1.6096585278386615</v>
      </c>
      <c r="H13" s="151">
        <f t="shared" ca="1" si="0"/>
        <v>0.91903972640629417</v>
      </c>
    </row>
    <row r="14" spans="2:13">
      <c r="B14" s="151">
        <f t="shared" ca="1" si="1"/>
        <v>0.88758486931141556</v>
      </c>
      <c r="C14" s="89">
        <f t="shared" ca="1" si="2"/>
        <v>479</v>
      </c>
      <c r="D14" s="151">
        <f t="shared" ca="1" si="3"/>
        <v>-2.482273139953421</v>
      </c>
      <c r="E14" s="151"/>
      <c r="F14" s="151">
        <f t="shared" ca="1" si="4"/>
        <v>1.3286890826489846</v>
      </c>
      <c r="G14" s="151">
        <f t="shared" ca="1" si="0"/>
        <v>-1.4247067400798212</v>
      </c>
      <c r="H14" s="151">
        <f t="shared" ca="1" si="0"/>
        <v>-2.0501840146274493</v>
      </c>
    </row>
    <row r="15" spans="2:13">
      <c r="B15" s="151">
        <f t="shared" ca="1" si="1"/>
        <v>0.55611634848180236</v>
      </c>
      <c r="C15" s="89">
        <f t="shared" ca="1" si="2"/>
        <v>491</v>
      </c>
      <c r="D15" s="151">
        <f t="shared" ca="1" si="3"/>
        <v>-1.6916887579781208</v>
      </c>
      <c r="E15" s="151"/>
      <c r="F15" s="151">
        <f t="shared" ca="1" si="4"/>
        <v>0.26714388944642703</v>
      </c>
      <c r="G15" s="151">
        <f t="shared" ca="1" si="0"/>
        <v>-0.38435293393634151</v>
      </c>
      <c r="H15" s="151">
        <f t="shared" ca="1" si="0"/>
        <v>-1.2921178148345571</v>
      </c>
    </row>
    <row r="16" spans="2:13">
      <c r="B16" s="151">
        <f t="shared" ca="1" si="1"/>
        <v>0.6898442612753487</v>
      </c>
      <c r="C16" s="89">
        <f t="shared" ca="1" si="2"/>
        <v>502</v>
      </c>
      <c r="D16" s="151">
        <f t="shared" ca="1" si="3"/>
        <v>-1.1233970344596635</v>
      </c>
      <c r="E16" s="151"/>
      <c r="F16" s="151">
        <f t="shared" ca="1" si="4"/>
        <v>0.69541449163725044</v>
      </c>
      <c r="G16" s="151">
        <f t="shared" ca="1" si="0"/>
        <v>0.56930472169518165</v>
      </c>
      <c r="H16" s="151">
        <f t="shared" ca="1" si="0"/>
        <v>-0.74720096972181227</v>
      </c>
    </row>
    <row r="17" spans="1:18">
      <c r="B17" s="151">
        <f t="shared" ca="1" si="1"/>
        <v>0.46232122819557098</v>
      </c>
      <c r="C17" s="89">
        <f t="shared" ca="1" si="2"/>
        <v>524</v>
      </c>
      <c r="D17" s="151">
        <f t="shared" ca="1" si="3"/>
        <v>0.82061658398727677</v>
      </c>
      <c r="E17" s="151"/>
      <c r="F17" s="151">
        <f t="shared" ca="1" si="4"/>
        <v>-3.3239865959673966E-2</v>
      </c>
      <c r="G17" s="151">
        <f t="shared" ca="1" si="0"/>
        <v>2.4766200329582282</v>
      </c>
      <c r="H17" s="151">
        <f t="shared" ca="1" si="0"/>
        <v>1.1168518115886878</v>
      </c>
    </row>
    <row r="18" spans="1:18">
      <c r="B18" s="151">
        <f t="shared" ca="1" si="1"/>
        <v>0.91379551717760366</v>
      </c>
      <c r="C18" s="89">
        <f t="shared" ca="1" si="2"/>
        <v>504</v>
      </c>
      <c r="D18" s="151">
        <f t="shared" ca="1" si="3"/>
        <v>0.88840814648940514</v>
      </c>
      <c r="E18" s="151"/>
      <c r="F18" s="151">
        <f t="shared" ca="1" si="4"/>
        <v>1.4126300468872728</v>
      </c>
      <c r="G18" s="151">
        <f t="shared" ref="G18:G31" ca="1" si="5">(C18-C$32)/C$33</f>
        <v>0.74269702271909499</v>
      </c>
      <c r="H18" s="151">
        <f t="shared" ref="H18:H31" ca="1" si="6">(D18-D$32)/D$33</f>
        <v>1.1818549830852079</v>
      </c>
    </row>
    <row r="19" spans="1:18">
      <c r="B19" s="151">
        <f t="shared" ca="1" si="1"/>
        <v>1.2360644647955943E-2</v>
      </c>
      <c r="C19" s="89">
        <f t="shared" ca="1" si="2"/>
        <v>499</v>
      </c>
      <c r="D19" s="151">
        <f t="shared" ca="1" si="3"/>
        <v>0.23774058674367946</v>
      </c>
      <c r="E19" s="151"/>
      <c r="F19" s="151">
        <f t="shared" ca="1" si="4"/>
        <v>-1.4742620583539849</v>
      </c>
      <c r="G19" s="151">
        <f t="shared" ca="1" si="5"/>
        <v>0.30921627015931175</v>
      </c>
      <c r="H19" s="151">
        <f t="shared" ca="1" si="6"/>
        <v>0.55795057061432352</v>
      </c>
    </row>
    <row r="20" spans="1:18">
      <c r="B20" s="151">
        <f t="shared" ca="1" si="1"/>
        <v>0.23254632795695562</v>
      </c>
      <c r="C20" s="89">
        <f t="shared" ca="1" si="2"/>
        <v>500</v>
      </c>
      <c r="D20" s="151">
        <f t="shared" ca="1" si="3"/>
        <v>0.59949777075907162</v>
      </c>
      <c r="E20" s="151"/>
      <c r="F20" s="151">
        <f t="shared" ca="1" si="4"/>
        <v>-0.76910594535814936</v>
      </c>
      <c r="G20" s="151">
        <f t="shared" ca="1" si="5"/>
        <v>0.39591242067126836</v>
      </c>
      <c r="H20" s="151">
        <f t="shared" ca="1" si="6"/>
        <v>0.90482801973511096</v>
      </c>
      <c r="R20"/>
    </row>
    <row r="21" spans="1:18">
      <c r="B21" s="151">
        <f t="shared" ca="1" si="1"/>
        <v>0.78173203580073225</v>
      </c>
      <c r="C21" s="89">
        <f t="shared" ca="1" si="2"/>
        <v>496</v>
      </c>
      <c r="D21" s="151">
        <f t="shared" ca="1" si="3"/>
        <v>-1.0081978121341237</v>
      </c>
      <c r="E21" s="151"/>
      <c r="F21" s="151">
        <f t="shared" ca="1" si="4"/>
        <v>0.98968987295360167</v>
      </c>
      <c r="G21" s="151">
        <f t="shared" ca="1" si="5"/>
        <v>4.9127818623441774E-2</v>
      </c>
      <c r="H21" s="151">
        <f t="shared" ca="1" si="6"/>
        <v>-0.63674010219338339</v>
      </c>
      <c r="M21"/>
    </row>
    <row r="22" spans="1:18">
      <c r="B22" s="151">
        <f t="shared" ca="1" si="1"/>
        <v>5.0553978931558996E-3</v>
      </c>
      <c r="C22" s="89">
        <f t="shared" ca="1" si="2"/>
        <v>499</v>
      </c>
      <c r="D22" s="151">
        <f t="shared" ca="1" si="3"/>
        <v>-1.9995209796949732E-2</v>
      </c>
      <c r="E22" s="151"/>
      <c r="F22" s="151">
        <f t="shared" ca="1" si="4"/>
        <v>-1.4976574913752185</v>
      </c>
      <c r="G22" s="151">
        <f t="shared" ca="1" si="5"/>
        <v>0.30921627015931175</v>
      </c>
      <c r="H22" s="151">
        <f t="shared" ca="1" si="6"/>
        <v>0.31081591897096117</v>
      </c>
    </row>
    <row r="23" spans="1:18">
      <c r="B23" s="151">
        <f t="shared" ca="1" si="1"/>
        <v>0.85763321935749681</v>
      </c>
      <c r="C23" s="89">
        <f t="shared" ca="1" si="2"/>
        <v>499</v>
      </c>
      <c r="D23" s="151">
        <f t="shared" ca="1" si="3"/>
        <v>-0.9051767636173097</v>
      </c>
      <c r="E23" s="151"/>
      <c r="F23" s="151">
        <f t="shared" ca="1" si="4"/>
        <v>1.2327673644795183</v>
      </c>
      <c r="G23" s="151">
        <f t="shared" ca="1" si="5"/>
        <v>0.30921627015931175</v>
      </c>
      <c r="H23" s="151">
        <f t="shared" ca="1" si="6"/>
        <v>-0.53795649790222222</v>
      </c>
    </row>
    <row r="24" spans="1:18">
      <c r="B24" s="151">
        <f t="shared" ca="1" si="1"/>
        <v>7.0053493841339631E-2</v>
      </c>
      <c r="C24" s="89">
        <f t="shared" ca="1" si="2"/>
        <v>482</v>
      </c>
      <c r="D24" s="151">
        <f t="shared" ca="1" si="3"/>
        <v>-1.2488539956940137</v>
      </c>
      <c r="E24" s="151"/>
      <c r="F24" s="151">
        <f t="shared" ca="1" si="4"/>
        <v>-1.2894977054974497</v>
      </c>
      <c r="G24" s="151">
        <f t="shared" ca="1" si="5"/>
        <v>-1.1646182885439513</v>
      </c>
      <c r="H24" s="151">
        <f t="shared" ca="1" si="6"/>
        <v>-0.86749765658889388</v>
      </c>
    </row>
    <row r="25" spans="1:18">
      <c r="B25" s="151">
        <f t="shared" ca="1" si="1"/>
        <v>0.29302086338060251</v>
      </c>
      <c r="C25" s="89">
        <f t="shared" ca="1" si="2"/>
        <v>496</v>
      </c>
      <c r="D25" s="151">
        <f t="shared" ca="1" si="3"/>
        <v>-0.64192263164445618</v>
      </c>
      <c r="E25" s="151"/>
      <c r="F25" s="151">
        <f t="shared" ca="1" si="4"/>
        <v>-0.57543309754304883</v>
      </c>
      <c r="G25" s="151">
        <f t="shared" ca="1" si="5"/>
        <v>4.9127818623441774E-2</v>
      </c>
      <c r="H25" s="151">
        <f t="shared" ca="1" si="6"/>
        <v>-0.28553049005999742</v>
      </c>
    </row>
    <row r="26" spans="1:18">
      <c r="B26" s="151">
        <f t="shared" ca="1" si="1"/>
        <v>0.27420738479544826</v>
      </c>
      <c r="C26" s="89">
        <f t="shared" ca="1" si="2"/>
        <v>484</v>
      </c>
      <c r="D26" s="151">
        <f t="shared" ca="1" si="3"/>
        <v>1.5363939339593098</v>
      </c>
      <c r="E26" s="151"/>
      <c r="F26" s="151">
        <f t="shared" ca="1" si="4"/>
        <v>-0.63568424208463181</v>
      </c>
      <c r="G26" s="151">
        <f t="shared" ca="1" si="5"/>
        <v>-0.9912259875200381</v>
      </c>
      <c r="H26" s="151">
        <f t="shared" ca="1" si="6"/>
        <v>1.8031879294808804</v>
      </c>
    </row>
    <row r="27" spans="1:18">
      <c r="B27" s="151">
        <f t="shared" ca="1" si="1"/>
        <v>0.70084711062395277</v>
      </c>
      <c r="C27" s="89">
        <f t="shared" ca="1" si="2"/>
        <v>500</v>
      </c>
      <c r="D27" s="151">
        <f t="shared" ca="1" si="3"/>
        <v>-0.36151089539429443</v>
      </c>
      <c r="E27" s="151"/>
      <c r="F27" s="151">
        <f t="shared" ca="1" si="4"/>
        <v>0.73065168945111614</v>
      </c>
      <c r="G27" s="151">
        <f t="shared" ca="1" si="5"/>
        <v>0.39591242067126836</v>
      </c>
      <c r="H27" s="151">
        <f t="shared" ca="1" si="6"/>
        <v>-1.6652601598082347E-2</v>
      </c>
    </row>
    <row r="28" spans="1:18">
      <c r="B28" s="151">
        <f t="shared" ca="1" si="1"/>
        <v>0.83556492674737803</v>
      </c>
      <c r="C28" s="89">
        <f t="shared" ca="1" si="2"/>
        <v>492</v>
      </c>
      <c r="D28" s="151">
        <f t="shared" ca="1" si="3"/>
        <v>-0.222360536575856</v>
      </c>
      <c r="E28" s="151"/>
      <c r="F28" s="151">
        <f t="shared" ca="1" si="4"/>
        <v>1.1620925085872413</v>
      </c>
      <c r="G28" s="151">
        <f t="shared" ca="1" si="5"/>
        <v>-0.29765678342438484</v>
      </c>
      <c r="H28" s="151">
        <f t="shared" ca="1" si="6"/>
        <v>0.11677424835530639</v>
      </c>
    </row>
    <row r="29" spans="1:18">
      <c r="B29" s="151">
        <f t="shared" ca="1" si="1"/>
        <v>0.80521638272909113</v>
      </c>
      <c r="C29" s="89">
        <f t="shared" ca="1" si="2"/>
        <v>504</v>
      </c>
      <c r="D29" s="151">
        <f t="shared" ca="1" si="3"/>
        <v>-0.70269042665238557</v>
      </c>
      <c r="E29" s="151"/>
      <c r="F29" s="151">
        <f t="shared" ca="1" si="4"/>
        <v>1.0648997165155349</v>
      </c>
      <c r="G29" s="151">
        <f t="shared" ca="1" si="5"/>
        <v>0.74269702271909499</v>
      </c>
      <c r="H29" s="151">
        <f t="shared" ca="1" si="6"/>
        <v>-0.34379879447091571</v>
      </c>
    </row>
    <row r="30" spans="1:18">
      <c r="B30" s="151">
        <f t="shared" ca="1" si="1"/>
        <v>2.8625468941073762E-2</v>
      </c>
      <c r="C30" s="89">
        <f t="shared" ca="1" si="2"/>
        <v>492</v>
      </c>
      <c r="D30" s="151">
        <f t="shared" ca="1" si="3"/>
        <v>-0.54191503446473266</v>
      </c>
      <c r="E30" s="151"/>
      <c r="F30" s="151">
        <f t="shared" ca="1" si="4"/>
        <v>-1.42217311185786</v>
      </c>
      <c r="G30" s="151">
        <f t="shared" ca="1" si="5"/>
        <v>-0.29765678342438484</v>
      </c>
      <c r="H30" s="151">
        <f t="shared" ca="1" si="6"/>
        <v>-0.18963638833864579</v>
      </c>
    </row>
    <row r="31" spans="1:18">
      <c r="B31" s="151">
        <f t="shared" ca="1" si="1"/>
        <v>0.85298618524015601</v>
      </c>
      <c r="C31" s="89">
        <f t="shared" ca="1" si="2"/>
        <v>474</v>
      </c>
      <c r="D31" s="151">
        <f t="shared" ca="1" si="3"/>
        <v>-0.26902641499482005</v>
      </c>
      <c r="E31" s="151"/>
      <c r="F31" s="151">
        <f t="shared" ca="1" si="4"/>
        <v>1.2178849958082345</v>
      </c>
      <c r="G31" s="151">
        <f t="shared" ca="1" si="5"/>
        <v>-1.8581874926396045</v>
      </c>
      <c r="H31" s="151">
        <f t="shared" ca="1" si="6"/>
        <v>7.2027822901424315E-2</v>
      </c>
    </row>
    <row r="32" spans="1:18">
      <c r="A32" s="150" t="s">
        <v>160</v>
      </c>
      <c r="B32" s="124">
        <f ca="1">AVERAGE(B2:B31)</f>
        <v>0.47270040872672464</v>
      </c>
      <c r="C32" s="124">
        <f t="shared" ref="C32:F32" ca="1" si="7">AVERAGE(C2:C31)</f>
        <v>495.43333333333334</v>
      </c>
      <c r="D32" s="124">
        <f t="shared" ca="1" si="7"/>
        <v>-0.34414395996530728</v>
      </c>
      <c r="E32" s="151"/>
      <c r="F32" s="124">
        <f t="shared" ca="1" si="7"/>
        <v>2.5905203907920321E-16</v>
      </c>
      <c r="G32" s="124">
        <f t="shared" ref="G32" ca="1" si="8">AVERAGE(G2:G31)</f>
        <v>-3.0346096006420946E-16</v>
      </c>
      <c r="H32" s="124">
        <f t="shared" ref="H32" ca="1" si="9">AVERAGE(H2:H31)</f>
        <v>3.7007434154171884E-18</v>
      </c>
    </row>
    <row r="33" spans="1:8">
      <c r="A33" s="150" t="s">
        <v>161</v>
      </c>
      <c r="B33" s="124">
        <f ca="1">_xlfn.STDEV.P(B2:B31)</f>
        <v>0.31225097428929188</v>
      </c>
      <c r="C33" s="124">
        <f t="shared" ref="C33:F33" ca="1" si="10">_xlfn.STDEV.P(C2:C31)</f>
        <v>11.534537509391326</v>
      </c>
      <c r="D33" s="124">
        <f t="shared" ca="1" si="10"/>
        <v>1.0428962301594404</v>
      </c>
      <c r="E33" s="151"/>
      <c r="F33" s="124">
        <f t="shared" ca="1" si="10"/>
        <v>0.99999999999999978</v>
      </c>
      <c r="G33" s="124">
        <f t="shared" ref="G33:H33" ca="1" si="11">_xlfn.STDEV.P(G2:G31)</f>
        <v>1.0000000000000004</v>
      </c>
      <c r="H33" s="124">
        <f t="shared" ca="1" si="11"/>
        <v>0.99999999999999978</v>
      </c>
    </row>
    <row r="34" spans="1:8">
      <c r="E34" s="151"/>
    </row>
    <row r="35" spans="1:8">
      <c r="E35" s="151"/>
    </row>
    <row r="36" spans="1:8">
      <c r="E36" s="151"/>
    </row>
    <row r="37" spans="1:8">
      <c r="E37" s="151"/>
    </row>
    <row r="38" spans="1:8">
      <c r="E38" s="151"/>
    </row>
    <row r="39" spans="1:8">
      <c r="E39" s="151"/>
    </row>
    <row r="40" spans="1:8">
      <c r="E40" s="151"/>
    </row>
    <row r="41" spans="1:8">
      <c r="E41" s="151"/>
    </row>
  </sheetData>
  <phoneticPr fontId="2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E18"/>
  <sheetViews>
    <sheetView showGridLines="0" workbookViewId="0">
      <selection activeCell="D10" sqref="D10"/>
    </sheetView>
  </sheetViews>
  <sheetFormatPr defaultColWidth="12.6640625" defaultRowHeight="15.75" customHeight="1"/>
  <cols>
    <col min="1" max="1" width="12.6640625" style="153"/>
    <col min="2" max="2" width="14.6640625" style="153" bestFit="1" customWidth="1"/>
    <col min="3" max="3" width="12.6640625" style="153"/>
    <col min="4" max="4" width="15.109375" style="153" customWidth="1"/>
    <col min="5" max="16384" width="12.6640625" style="153"/>
  </cols>
  <sheetData>
    <row r="1" spans="2:5" ht="15.75" customHeight="1">
      <c r="B1" s="11" t="s">
        <v>142</v>
      </c>
      <c r="C1" s="11" t="s">
        <v>18</v>
      </c>
    </row>
    <row r="2" spans="2:5" ht="15.75" customHeight="1">
      <c r="B2" s="3">
        <v>100</v>
      </c>
      <c r="C2" s="3">
        <v>50.1</v>
      </c>
      <c r="D2" s="3" t="s">
        <v>19</v>
      </c>
      <c r="E2" s="154">
        <f ca="1">_xlfn.COVARIANCE.P(B2:B17,C2:C17)</f>
        <v>22038.90625</v>
      </c>
    </row>
    <row r="3" spans="2:5" ht="15.75" customHeight="1">
      <c r="B3" s="3">
        <f t="shared" ref="B3:B17" ca="1" si="0">B2+10+RANDBETWEEN(140, 300)</f>
        <v>391</v>
      </c>
      <c r="C3" s="3">
        <f t="shared" ref="C3:C6" si="1">C2+5</f>
        <v>55.1</v>
      </c>
      <c r="D3" s="3" t="s">
        <v>20</v>
      </c>
      <c r="E3" s="154">
        <f ca="1">CORREL(B2:B18,C2:C18)</f>
        <v>0.98166472034901098</v>
      </c>
    </row>
    <row r="4" spans="2:5" ht="15.75" customHeight="1">
      <c r="B4" s="3">
        <f t="shared" ca="1" si="0"/>
        <v>613</v>
      </c>
      <c r="C4" s="3">
        <f t="shared" si="1"/>
        <v>60.1</v>
      </c>
    </row>
    <row r="5" spans="2:5" ht="15.75" customHeight="1">
      <c r="B5" s="3">
        <f t="shared" ca="1" si="0"/>
        <v>893</v>
      </c>
      <c r="C5" s="3">
        <f t="shared" si="1"/>
        <v>65.099999999999994</v>
      </c>
    </row>
    <row r="6" spans="2:5" ht="15.75" customHeight="1">
      <c r="B6" s="3">
        <f t="shared" ca="1" si="0"/>
        <v>1075</v>
      </c>
      <c r="C6" s="3">
        <f t="shared" si="1"/>
        <v>70.099999999999994</v>
      </c>
    </row>
    <row r="7" spans="2:5" ht="15.75" customHeight="1">
      <c r="B7" s="3">
        <f t="shared" ca="1" si="0"/>
        <v>1250</v>
      </c>
      <c r="C7" s="3">
        <v>75.099999999999994</v>
      </c>
    </row>
    <row r="8" spans="2:5" ht="15.75" customHeight="1">
      <c r="B8" s="3">
        <f t="shared" ca="1" si="0"/>
        <v>1498</v>
      </c>
      <c r="C8" s="3">
        <v>80.099999999999994</v>
      </c>
    </row>
    <row r="9" spans="2:5" ht="15.75" customHeight="1">
      <c r="B9" s="3">
        <f t="shared" ca="1" si="0"/>
        <v>1651</v>
      </c>
      <c r="C9" s="3">
        <v>85.1</v>
      </c>
    </row>
    <row r="10" spans="2:5" ht="15.75" customHeight="1">
      <c r="B10" s="3">
        <f t="shared" ca="1" si="0"/>
        <v>1825</v>
      </c>
      <c r="C10" s="3">
        <v>90.1</v>
      </c>
    </row>
    <row r="11" spans="2:5" ht="15.75" customHeight="1">
      <c r="B11" s="3">
        <f t="shared" ca="1" si="0"/>
        <v>1975</v>
      </c>
      <c r="C11" s="3">
        <v>95.1</v>
      </c>
    </row>
    <row r="12" spans="2:5" ht="15.75" customHeight="1">
      <c r="B12" s="3">
        <f t="shared" ca="1" si="0"/>
        <v>2241</v>
      </c>
      <c r="C12" s="3">
        <v>100.1</v>
      </c>
    </row>
    <row r="13" spans="2:5" ht="15.75" customHeight="1">
      <c r="B13" s="3">
        <f t="shared" ca="1" si="0"/>
        <v>2535</v>
      </c>
      <c r="C13" s="3">
        <v>105.1</v>
      </c>
    </row>
    <row r="14" spans="2:5" ht="15.75" customHeight="1">
      <c r="B14" s="3">
        <f t="shared" ca="1" si="0"/>
        <v>2691</v>
      </c>
      <c r="C14" s="3">
        <v>110.1</v>
      </c>
    </row>
    <row r="15" spans="2:5" ht="15.75" customHeight="1">
      <c r="B15" s="3">
        <f t="shared" ca="1" si="0"/>
        <v>2872</v>
      </c>
      <c r="C15" s="3">
        <v>115.1</v>
      </c>
    </row>
    <row r="16" spans="2:5" ht="15.75" customHeight="1">
      <c r="B16" s="3">
        <f t="shared" ca="1" si="0"/>
        <v>3052</v>
      </c>
      <c r="C16" s="3">
        <v>120.1</v>
      </c>
    </row>
    <row r="17" spans="2:3" ht="15.75" customHeight="1">
      <c r="B17" s="3">
        <f t="shared" ca="1" si="0"/>
        <v>3343</v>
      </c>
      <c r="C17" s="3">
        <v>125.1</v>
      </c>
    </row>
    <row r="18" spans="2:3" ht="15.75" customHeight="1">
      <c r="B18" s="118">
        <f t="shared" ref="B18:C18" ca="1" si="2">VAR(B2:B17)</f>
        <v>977753.4291666667</v>
      </c>
      <c r="C18" s="118">
        <f t="shared" si="2"/>
        <v>566.66666666666572</v>
      </c>
    </row>
  </sheetData>
  <phoneticPr fontId="26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2"/>
  <sheetViews>
    <sheetView showGridLines="0" topLeftCell="A2" workbookViewId="0">
      <selection activeCell="D12" sqref="D12"/>
    </sheetView>
  </sheetViews>
  <sheetFormatPr defaultColWidth="12.6640625" defaultRowHeight="15.75" customHeight="1"/>
  <cols>
    <col min="1" max="1" width="14.6640625" bestFit="1" customWidth="1"/>
    <col min="2" max="2" width="20.6640625" bestFit="1" customWidth="1"/>
    <col min="4" max="4" width="18" customWidth="1"/>
  </cols>
  <sheetData>
    <row r="1" spans="1:12">
      <c r="A1" s="97" t="s">
        <v>21</v>
      </c>
      <c r="B1" s="96"/>
      <c r="C1" s="2"/>
      <c r="D1" s="2"/>
      <c r="E1" s="2"/>
      <c r="F1" s="2"/>
      <c r="G1" s="7"/>
      <c r="H1" s="2"/>
      <c r="I1" s="2"/>
      <c r="J1" s="2"/>
      <c r="K1" s="2"/>
      <c r="L1" s="2"/>
    </row>
    <row r="2" spans="1:12">
      <c r="A2" s="2"/>
      <c r="B2" s="2"/>
      <c r="C2" s="2"/>
      <c r="D2" s="2"/>
      <c r="E2" s="8" t="s">
        <v>22</v>
      </c>
      <c r="F2" s="2"/>
      <c r="G2" s="2"/>
      <c r="H2" s="2"/>
      <c r="I2" s="2"/>
      <c r="J2" s="2"/>
      <c r="K2" s="2"/>
      <c r="L2" s="2"/>
    </row>
    <row r="3" spans="1:12">
      <c r="A3" s="5" t="s">
        <v>17</v>
      </c>
      <c r="B3" s="5" t="s">
        <v>18</v>
      </c>
      <c r="C3" s="5" t="s">
        <v>23</v>
      </c>
      <c r="D3" s="2"/>
      <c r="E3" s="2"/>
      <c r="F3" s="2"/>
      <c r="G3" s="2"/>
      <c r="H3" s="2"/>
      <c r="I3" s="2"/>
      <c r="J3" s="2"/>
    </row>
    <row r="4" spans="1:12">
      <c r="A4" s="3">
        <v>100</v>
      </c>
      <c r="B4" s="3">
        <v>50.1</v>
      </c>
      <c r="C4" s="9">
        <f>CORREL(A4:A19,B4:B19)</f>
        <v>1</v>
      </c>
      <c r="D4" s="2"/>
      <c r="E4" s="2"/>
      <c r="F4" s="2"/>
      <c r="G4" s="2"/>
      <c r="H4" s="2"/>
      <c r="I4" s="2"/>
      <c r="J4" s="2"/>
      <c r="K4" s="2"/>
      <c r="L4" s="2"/>
    </row>
    <row r="5" spans="1:12">
      <c r="A5" s="3">
        <f t="shared" ref="A5:A15" si="0">A4+10</f>
        <v>110</v>
      </c>
      <c r="B5" s="3">
        <f t="shared" ref="B5:B8" si="1">B4+5</f>
        <v>55.1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>
      <c r="A6" s="3">
        <f t="shared" si="0"/>
        <v>120</v>
      </c>
      <c r="B6" s="3">
        <f t="shared" si="1"/>
        <v>60.1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>
      <c r="A7" s="3">
        <f t="shared" si="0"/>
        <v>130</v>
      </c>
      <c r="B7" s="3">
        <f t="shared" si="1"/>
        <v>65.099999999999994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>
      <c r="A8" s="3">
        <f t="shared" si="0"/>
        <v>140</v>
      </c>
      <c r="B8" s="3">
        <f t="shared" si="1"/>
        <v>70.099999999999994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>
      <c r="A9" s="3">
        <f t="shared" si="0"/>
        <v>150</v>
      </c>
      <c r="B9" s="3">
        <v>75.099999999999994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>
      <c r="A10" s="3">
        <f t="shared" si="0"/>
        <v>160</v>
      </c>
      <c r="B10" s="3">
        <v>80.099999999999994</v>
      </c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>
      <c r="A11" s="3">
        <f t="shared" si="0"/>
        <v>170</v>
      </c>
      <c r="B11" s="3">
        <v>85.1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>
      <c r="A12" s="3">
        <f t="shared" si="0"/>
        <v>180</v>
      </c>
      <c r="B12" s="3">
        <v>90.1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>
      <c r="A13" s="3">
        <f t="shared" si="0"/>
        <v>190</v>
      </c>
      <c r="B13" s="3">
        <v>95.1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>
      <c r="A14" s="3">
        <f t="shared" si="0"/>
        <v>200</v>
      </c>
      <c r="B14" s="3">
        <v>100.1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A15" s="3">
        <f t="shared" si="0"/>
        <v>210</v>
      </c>
      <c r="B15" s="3">
        <v>105.1</v>
      </c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>
      <c r="A16" s="3">
        <v>220</v>
      </c>
      <c r="B16" s="3">
        <v>110.1</v>
      </c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>
      <c r="A17" s="3">
        <v>230</v>
      </c>
      <c r="B17" s="3">
        <v>115.1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>
      <c r="A18" s="3">
        <v>240</v>
      </c>
      <c r="B18" s="3">
        <v>120.1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>
      <c r="A19" s="3">
        <v>250</v>
      </c>
      <c r="B19" s="3">
        <v>125.1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8" t="s">
        <v>24</v>
      </c>
      <c r="F20" s="2"/>
      <c r="G20" s="2"/>
      <c r="H20" s="2"/>
      <c r="I20" s="2"/>
      <c r="J20" s="2"/>
      <c r="K20" s="2"/>
      <c r="L20" s="2"/>
    </row>
    <row r="21" spans="1:12">
      <c r="A21" s="5" t="s">
        <v>25</v>
      </c>
      <c r="B21" s="5" t="s">
        <v>26</v>
      </c>
      <c r="C21" s="1" t="s">
        <v>27</v>
      </c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10">
        <v>0.1</v>
      </c>
      <c r="B22" s="10">
        <v>0.5</v>
      </c>
      <c r="C22" s="1" t="s">
        <v>28</v>
      </c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5" t="s">
        <v>17</v>
      </c>
      <c r="B24" s="5" t="s">
        <v>29</v>
      </c>
      <c r="C24" s="11"/>
      <c r="D24" s="12" t="s">
        <v>30</v>
      </c>
      <c r="E24" s="12" t="s">
        <v>31</v>
      </c>
      <c r="F24" s="2"/>
      <c r="G24" s="2"/>
      <c r="H24" s="2"/>
      <c r="I24" s="2"/>
      <c r="J24" s="2"/>
      <c r="K24" s="2"/>
      <c r="L24" s="2"/>
    </row>
    <row r="25" spans="1:12">
      <c r="A25" s="3">
        <v>100</v>
      </c>
      <c r="B25" s="3">
        <f t="shared" ref="B25:B40" si="2">$A$22+A25*$B$22</f>
        <v>50.1</v>
      </c>
      <c r="C25" s="2"/>
      <c r="D25" s="13">
        <f t="shared" ref="D25:D40" si="3">B25-B4</f>
        <v>0</v>
      </c>
      <c r="E25" s="13">
        <f t="shared" ref="E25:E40" si="4">D25^2</f>
        <v>0</v>
      </c>
      <c r="F25" s="2"/>
      <c r="G25" s="2"/>
      <c r="H25" s="2"/>
      <c r="I25" s="2"/>
      <c r="J25" s="2"/>
      <c r="K25" s="2"/>
      <c r="L25" s="2"/>
    </row>
    <row r="26" spans="1:12">
      <c r="A26" s="3">
        <v>110</v>
      </c>
      <c r="B26" s="3">
        <f t="shared" si="2"/>
        <v>55.1</v>
      </c>
      <c r="C26" s="2"/>
      <c r="D26" s="13">
        <f t="shared" si="3"/>
        <v>0</v>
      </c>
      <c r="E26" s="13">
        <f t="shared" si="4"/>
        <v>0</v>
      </c>
      <c r="F26" s="2"/>
      <c r="G26" s="2"/>
      <c r="H26" s="2"/>
      <c r="I26" s="2"/>
      <c r="J26" s="2"/>
      <c r="K26" s="2"/>
      <c r="L26" s="2"/>
    </row>
    <row r="27" spans="1:12">
      <c r="A27" s="3">
        <v>120</v>
      </c>
      <c r="B27" s="3">
        <f t="shared" si="2"/>
        <v>60.1</v>
      </c>
      <c r="C27" s="2"/>
      <c r="D27" s="13">
        <f t="shared" si="3"/>
        <v>0</v>
      </c>
      <c r="E27" s="13">
        <f t="shared" si="4"/>
        <v>0</v>
      </c>
      <c r="F27" s="2"/>
      <c r="G27" s="2"/>
      <c r="H27" s="2"/>
      <c r="I27" s="2"/>
      <c r="J27" s="2"/>
      <c r="K27" s="2"/>
      <c r="L27" s="2"/>
    </row>
    <row r="28" spans="1:12">
      <c r="A28" s="3">
        <v>130</v>
      </c>
      <c r="B28" s="3">
        <f t="shared" si="2"/>
        <v>65.099999999999994</v>
      </c>
      <c r="C28" s="2"/>
      <c r="D28" s="13">
        <f t="shared" si="3"/>
        <v>0</v>
      </c>
      <c r="E28" s="13">
        <f t="shared" si="4"/>
        <v>0</v>
      </c>
      <c r="F28" s="2"/>
      <c r="G28" s="2"/>
      <c r="H28" s="2"/>
      <c r="I28" s="2"/>
      <c r="J28" s="2"/>
      <c r="K28" s="2"/>
      <c r="L28" s="2"/>
    </row>
    <row r="29" spans="1:12">
      <c r="A29" s="3">
        <v>140</v>
      </c>
      <c r="B29" s="3">
        <f t="shared" si="2"/>
        <v>70.099999999999994</v>
      </c>
      <c r="C29" s="2"/>
      <c r="D29" s="13">
        <f t="shared" si="3"/>
        <v>0</v>
      </c>
      <c r="E29" s="13">
        <f t="shared" si="4"/>
        <v>0</v>
      </c>
      <c r="F29" s="2"/>
      <c r="G29" s="2"/>
      <c r="H29" s="2"/>
      <c r="I29" s="2"/>
      <c r="J29" s="2"/>
      <c r="K29" s="2"/>
      <c r="L29" s="2"/>
    </row>
    <row r="30" spans="1:12">
      <c r="A30" s="3">
        <v>150</v>
      </c>
      <c r="B30" s="3">
        <f t="shared" si="2"/>
        <v>75.099999999999994</v>
      </c>
      <c r="C30" s="2"/>
      <c r="D30" s="13">
        <f t="shared" si="3"/>
        <v>0</v>
      </c>
      <c r="E30" s="13">
        <f t="shared" si="4"/>
        <v>0</v>
      </c>
      <c r="F30" s="2"/>
      <c r="G30" s="2"/>
      <c r="H30" s="2"/>
      <c r="I30" s="2"/>
      <c r="J30" s="2"/>
      <c r="K30" s="2"/>
      <c r="L30" s="2"/>
    </row>
    <row r="31" spans="1:12">
      <c r="A31" s="3">
        <v>160</v>
      </c>
      <c r="B31" s="3">
        <f t="shared" si="2"/>
        <v>80.099999999999994</v>
      </c>
      <c r="C31" s="2"/>
      <c r="D31" s="13">
        <f t="shared" si="3"/>
        <v>0</v>
      </c>
      <c r="E31" s="13">
        <f t="shared" si="4"/>
        <v>0</v>
      </c>
      <c r="F31" s="2"/>
      <c r="G31" s="2"/>
      <c r="H31" s="2"/>
      <c r="I31" s="2"/>
      <c r="J31" s="2"/>
      <c r="K31" s="2"/>
      <c r="L31" s="2"/>
    </row>
    <row r="32" spans="1:12">
      <c r="A32" s="3">
        <v>170</v>
      </c>
      <c r="B32" s="3">
        <f t="shared" si="2"/>
        <v>85.1</v>
      </c>
      <c r="C32" s="2"/>
      <c r="D32" s="13">
        <f t="shared" si="3"/>
        <v>0</v>
      </c>
      <c r="E32" s="13">
        <f t="shared" si="4"/>
        <v>0</v>
      </c>
      <c r="F32" s="2"/>
      <c r="G32" s="2"/>
      <c r="H32" s="2"/>
      <c r="I32" s="2"/>
      <c r="J32" s="2"/>
      <c r="K32" s="2"/>
      <c r="L32" s="2"/>
    </row>
    <row r="33" spans="1:12">
      <c r="A33" s="3">
        <v>180</v>
      </c>
      <c r="B33" s="3">
        <f t="shared" si="2"/>
        <v>90.1</v>
      </c>
      <c r="C33" s="2"/>
      <c r="D33" s="13">
        <f t="shared" si="3"/>
        <v>0</v>
      </c>
      <c r="E33" s="13">
        <f t="shared" si="4"/>
        <v>0</v>
      </c>
      <c r="F33" s="2"/>
      <c r="G33" s="2"/>
      <c r="H33" s="2"/>
      <c r="I33" s="2"/>
      <c r="J33" s="2"/>
      <c r="K33" s="2"/>
      <c r="L33" s="2"/>
    </row>
    <row r="34" spans="1:12">
      <c r="A34" s="3">
        <v>190</v>
      </c>
      <c r="B34" s="3">
        <f t="shared" si="2"/>
        <v>95.1</v>
      </c>
      <c r="C34" s="2"/>
      <c r="D34" s="13">
        <f t="shared" si="3"/>
        <v>0</v>
      </c>
      <c r="E34" s="13">
        <f t="shared" si="4"/>
        <v>0</v>
      </c>
      <c r="F34" s="2"/>
      <c r="G34" s="2"/>
      <c r="H34" s="2"/>
      <c r="I34" s="2"/>
      <c r="J34" s="2"/>
      <c r="K34" s="2"/>
      <c r="L34" s="2"/>
    </row>
    <row r="35" spans="1:12">
      <c r="A35" s="3">
        <v>200</v>
      </c>
      <c r="B35" s="3">
        <f t="shared" si="2"/>
        <v>100.1</v>
      </c>
      <c r="C35" s="2"/>
      <c r="D35" s="13">
        <f t="shared" si="3"/>
        <v>0</v>
      </c>
      <c r="E35" s="13">
        <f t="shared" si="4"/>
        <v>0</v>
      </c>
      <c r="F35" s="2"/>
      <c r="G35" s="2"/>
      <c r="H35" s="2"/>
      <c r="I35" s="2"/>
      <c r="J35" s="2"/>
      <c r="K35" s="2"/>
      <c r="L35" s="2"/>
    </row>
    <row r="36" spans="1:12">
      <c r="A36" s="3">
        <v>210</v>
      </c>
      <c r="B36" s="3">
        <f t="shared" si="2"/>
        <v>105.1</v>
      </c>
      <c r="C36" s="2"/>
      <c r="D36" s="13">
        <f t="shared" si="3"/>
        <v>0</v>
      </c>
      <c r="E36" s="13">
        <f t="shared" si="4"/>
        <v>0</v>
      </c>
      <c r="F36" s="2"/>
      <c r="G36" s="2"/>
      <c r="H36" s="2"/>
      <c r="I36" s="2"/>
      <c r="J36" s="2"/>
      <c r="K36" s="2"/>
      <c r="L36" s="2"/>
    </row>
    <row r="37" spans="1:12">
      <c r="A37" s="3">
        <v>220</v>
      </c>
      <c r="B37" s="3">
        <f t="shared" si="2"/>
        <v>110.1</v>
      </c>
      <c r="C37" s="2"/>
      <c r="D37" s="13">
        <f t="shared" si="3"/>
        <v>0</v>
      </c>
      <c r="E37" s="13">
        <f t="shared" si="4"/>
        <v>0</v>
      </c>
      <c r="F37" s="2"/>
      <c r="G37" s="2"/>
      <c r="H37" s="2"/>
      <c r="I37" s="2"/>
      <c r="J37" s="2"/>
      <c r="K37" s="2"/>
      <c r="L37" s="2"/>
    </row>
    <row r="38" spans="1:12">
      <c r="A38" s="3">
        <v>230</v>
      </c>
      <c r="B38" s="3">
        <f t="shared" si="2"/>
        <v>115.1</v>
      </c>
      <c r="C38" s="2"/>
      <c r="D38" s="13">
        <f t="shared" si="3"/>
        <v>0</v>
      </c>
      <c r="E38" s="13">
        <f t="shared" si="4"/>
        <v>0</v>
      </c>
      <c r="F38" s="2"/>
      <c r="G38" s="2"/>
      <c r="H38" s="2"/>
      <c r="I38" s="2"/>
      <c r="J38" s="2"/>
      <c r="K38" s="2"/>
      <c r="L38" s="2"/>
    </row>
    <row r="39" spans="1:12">
      <c r="A39" s="3">
        <v>240</v>
      </c>
      <c r="B39" s="3">
        <f t="shared" si="2"/>
        <v>120.1</v>
      </c>
      <c r="C39" s="2"/>
      <c r="D39" s="13">
        <f t="shared" si="3"/>
        <v>0</v>
      </c>
      <c r="E39" s="13">
        <f t="shared" si="4"/>
        <v>0</v>
      </c>
      <c r="F39" s="2"/>
      <c r="G39" s="2"/>
      <c r="H39" s="2"/>
      <c r="I39" s="2"/>
      <c r="J39" s="2"/>
      <c r="K39" s="2"/>
      <c r="L39" s="2"/>
    </row>
    <row r="40" spans="1:12">
      <c r="A40" s="14">
        <v>250</v>
      </c>
      <c r="B40" s="14">
        <f t="shared" si="2"/>
        <v>125.1</v>
      </c>
      <c r="C40" s="11"/>
      <c r="D40" s="15">
        <f t="shared" si="3"/>
        <v>0</v>
      </c>
      <c r="E40" s="15">
        <f t="shared" si="4"/>
        <v>0</v>
      </c>
      <c r="F40" s="2"/>
      <c r="G40" s="2"/>
      <c r="H40" s="2"/>
      <c r="I40" s="2"/>
      <c r="J40" s="2"/>
      <c r="K40" s="2"/>
      <c r="L40" s="2"/>
    </row>
    <row r="41" spans="1:12">
      <c r="D41" s="4" t="s">
        <v>32</v>
      </c>
      <c r="E41" s="4">
        <f>SUM(E25:E40)</f>
        <v>0</v>
      </c>
    </row>
    <row r="42" spans="1:12">
      <c r="D42" s="4" t="s">
        <v>33</v>
      </c>
      <c r="E42" s="16">
        <f>E41/COUNT(A4:A19)</f>
        <v>0</v>
      </c>
      <c r="F42" s="4" t="s">
        <v>34</v>
      </c>
    </row>
  </sheetData>
  <mergeCells count="1">
    <mergeCell ref="A1:B1"/>
  </mergeCells>
  <phoneticPr fontId="26" type="noConversion"/>
  <hyperlinks>
    <hyperlink ref="E2" r:id="rId1" xr:uid="{00000000-0004-0000-0200-000000000000}"/>
    <hyperlink ref="E20" r:id="rId2" xr:uid="{00000000-0004-0000-0200-000001000000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6"/>
  <sheetViews>
    <sheetView workbookViewId="0"/>
  </sheetViews>
  <sheetFormatPr defaultColWidth="12.6640625" defaultRowHeight="15.75" customHeight="1"/>
  <sheetData>
    <row r="1" spans="1:10">
      <c r="A1" s="17" t="s">
        <v>35</v>
      </c>
      <c r="D1" s="17" t="s">
        <v>36</v>
      </c>
      <c r="J1" s="4">
        <v>1</v>
      </c>
    </row>
    <row r="2" spans="1:10">
      <c r="A2" s="4">
        <f>MIN('linear regression'!E42)</f>
        <v>0</v>
      </c>
      <c r="B2" s="4" t="e">
        <f>MAX(#REF!)</f>
        <v>#REF!</v>
      </c>
    </row>
    <row r="3" spans="1:10">
      <c r="A3" s="4" t="s">
        <v>100</v>
      </c>
      <c r="B3" s="4" t="e">
        <f>#REF!</f>
        <v>#REF!</v>
      </c>
    </row>
    <row r="4" spans="1:10">
      <c r="A4" s="17" t="s">
        <v>37</v>
      </c>
      <c r="B4" s="17" t="s">
        <v>37</v>
      </c>
    </row>
    <row r="6" spans="1:10">
      <c r="A6" s="17" t="s">
        <v>38</v>
      </c>
      <c r="B6" s="17" t="s">
        <v>38</v>
      </c>
    </row>
  </sheetData>
  <phoneticPr fontId="2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defaultColWidth="12.6640625" defaultRowHeight="15.75" customHeight="1"/>
  <sheetData>
    <row r="1" spans="1:4">
      <c r="A1" s="17" t="s">
        <v>39</v>
      </c>
      <c r="D1" s="17" t="s">
        <v>40</v>
      </c>
    </row>
    <row r="4" spans="1:4">
      <c r="A4" s="17" t="s">
        <v>41</v>
      </c>
    </row>
    <row r="6" spans="1:4">
      <c r="A6" s="17" t="s">
        <v>38</v>
      </c>
    </row>
  </sheetData>
  <phoneticPr fontId="2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61"/>
  <sheetViews>
    <sheetView showGridLines="0" topLeftCell="G18" workbookViewId="0">
      <selection activeCell="O38" sqref="O38"/>
    </sheetView>
  </sheetViews>
  <sheetFormatPr defaultColWidth="12.6640625" defaultRowHeight="15.75" customHeight="1"/>
  <cols>
    <col min="1" max="1" width="11.6640625" customWidth="1"/>
    <col min="2" max="2" width="6.33203125" customWidth="1"/>
    <col min="3" max="3" width="4.44140625" customWidth="1"/>
    <col min="4" max="4" width="12" customWidth="1"/>
    <col min="5" max="5" width="18.33203125" customWidth="1"/>
    <col min="6" max="6" width="11.6640625" customWidth="1"/>
    <col min="7" max="7" width="16.33203125" customWidth="1"/>
    <col min="8" max="8" width="9.109375" customWidth="1"/>
    <col min="9" max="9" width="10.6640625" customWidth="1"/>
    <col min="10" max="10" width="11.6640625" customWidth="1"/>
    <col min="11" max="11" width="14.88671875" customWidth="1"/>
    <col min="12" max="12" width="13.88671875" customWidth="1"/>
    <col min="13" max="27" width="11.6640625" customWidth="1"/>
  </cols>
  <sheetData>
    <row r="1" spans="1:27" ht="13.2">
      <c r="A1" s="1"/>
      <c r="B1" s="95" t="s">
        <v>42</v>
      </c>
      <c r="C1" s="96"/>
      <c r="D1" s="96"/>
      <c r="E1" s="2"/>
      <c r="F1" s="2"/>
      <c r="G1" s="2"/>
      <c r="H1" s="7"/>
    </row>
    <row r="2" spans="1:27" ht="13.2">
      <c r="A2" s="1"/>
      <c r="B2" s="1" t="s">
        <v>43</v>
      </c>
      <c r="C2" s="1"/>
      <c r="D2" s="2" t="s">
        <v>44</v>
      </c>
      <c r="E2" s="2"/>
      <c r="F2" s="2"/>
      <c r="G2" s="2"/>
      <c r="H2" s="2"/>
      <c r="K2" s="18" t="s">
        <v>45</v>
      </c>
      <c r="L2" s="19"/>
      <c r="M2" s="20" t="s">
        <v>46</v>
      </c>
    </row>
    <row r="3" spans="1:27" ht="13.2">
      <c r="A3" s="21"/>
      <c r="B3" s="22" t="s">
        <v>47</v>
      </c>
      <c r="C3" s="22" t="s">
        <v>48</v>
      </c>
      <c r="D3" s="23" t="s">
        <v>49</v>
      </c>
      <c r="E3" s="23" t="s">
        <v>50</v>
      </c>
      <c r="F3" s="23" t="s">
        <v>51</v>
      </c>
      <c r="G3" s="23" t="s">
        <v>52</v>
      </c>
      <c r="H3" s="23" t="s">
        <v>53</v>
      </c>
      <c r="I3" s="23" t="s">
        <v>54</v>
      </c>
      <c r="J3" s="23" t="s">
        <v>55</v>
      </c>
      <c r="K3" s="24" t="s">
        <v>56</v>
      </c>
      <c r="L3" s="24" t="s">
        <v>57</v>
      </c>
      <c r="M3" s="25" t="s">
        <v>58</v>
      </c>
      <c r="N3" s="21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spans="1:27" ht="13.2">
      <c r="A4" s="3"/>
      <c r="B4" s="27">
        <v>1</v>
      </c>
      <c r="C4" s="27">
        <v>1</v>
      </c>
      <c r="D4" s="3">
        <f t="shared" ref="D4:D8" si="0">B4-$B$9</f>
        <v>-2</v>
      </c>
      <c r="E4" s="6">
        <f t="shared" ref="E4:E8" si="1">D4^2</f>
        <v>4</v>
      </c>
      <c r="F4" s="3">
        <f t="shared" ref="F4:F8" si="2">C4-$C$9</f>
        <v>-1.7999999999999998</v>
      </c>
      <c r="G4" s="3">
        <f>D4*F4</f>
        <v>3.5999999999999996</v>
      </c>
      <c r="J4" s="4">
        <f t="shared" ref="J4:J8" si="3">$I$5+$H$5*B4</f>
        <v>1.1999999999999995</v>
      </c>
      <c r="K4" s="19">
        <f t="shared" ref="K4:K8" si="4">J4-C4</f>
        <v>0.19999999999999951</v>
      </c>
      <c r="L4" s="19">
        <f t="shared" ref="L4:L8" si="5">K4^2</f>
        <v>3.9999999999999807E-2</v>
      </c>
      <c r="M4" s="20">
        <f t="shared" ref="M4:M8" si="6">SQRT(L4)</f>
        <v>0.19999999999999951</v>
      </c>
    </row>
    <row r="5" spans="1:27" ht="13.2">
      <c r="A5" s="3"/>
      <c r="B5" s="27">
        <v>2</v>
      </c>
      <c r="C5" s="27">
        <v>3</v>
      </c>
      <c r="D5" s="3">
        <f t="shared" si="0"/>
        <v>-1</v>
      </c>
      <c r="E5" s="6">
        <f t="shared" si="1"/>
        <v>1</v>
      </c>
      <c r="F5" s="3">
        <f t="shared" si="2"/>
        <v>0.20000000000000018</v>
      </c>
      <c r="G5" s="3">
        <f t="shared" ref="G4:G8" si="7">D5*F5</f>
        <v>-0.20000000000000018</v>
      </c>
      <c r="H5" s="28">
        <f>G10/E10</f>
        <v>0.8</v>
      </c>
      <c r="I5" s="29">
        <f>C9-H5*B9</f>
        <v>0.39999999999999947</v>
      </c>
      <c r="J5" s="4">
        <f t="shared" si="3"/>
        <v>1.9999999999999996</v>
      </c>
      <c r="K5" s="19">
        <f t="shared" si="4"/>
        <v>-1.0000000000000004</v>
      </c>
      <c r="L5" s="19">
        <f t="shared" si="5"/>
        <v>1.0000000000000009</v>
      </c>
      <c r="M5" s="20">
        <f t="shared" si="6"/>
        <v>1.0000000000000004</v>
      </c>
    </row>
    <row r="6" spans="1:27" ht="13.2">
      <c r="A6" s="3"/>
      <c r="B6" s="27">
        <v>4</v>
      </c>
      <c r="C6" s="27">
        <v>3</v>
      </c>
      <c r="D6" s="3">
        <f t="shared" si="0"/>
        <v>1</v>
      </c>
      <c r="E6" s="6">
        <f t="shared" si="1"/>
        <v>1</v>
      </c>
      <c r="F6" s="3">
        <f t="shared" si="2"/>
        <v>0.20000000000000018</v>
      </c>
      <c r="G6" s="3">
        <f t="shared" si="7"/>
        <v>0.20000000000000018</v>
      </c>
      <c r="H6" s="2"/>
      <c r="J6" s="4">
        <f t="shared" si="3"/>
        <v>3.5999999999999996</v>
      </c>
      <c r="K6" s="19">
        <f t="shared" si="4"/>
        <v>0.59999999999999964</v>
      </c>
      <c r="L6" s="19">
        <f t="shared" si="5"/>
        <v>0.3599999999999996</v>
      </c>
      <c r="M6" s="20">
        <f t="shared" si="6"/>
        <v>0.59999999999999964</v>
      </c>
    </row>
    <row r="7" spans="1:27" ht="13.2">
      <c r="A7" s="3"/>
      <c r="B7" s="27">
        <v>3</v>
      </c>
      <c r="C7" s="27">
        <v>2</v>
      </c>
      <c r="D7" s="3">
        <f t="shared" si="0"/>
        <v>0</v>
      </c>
      <c r="E7" s="6">
        <f t="shared" si="1"/>
        <v>0</v>
      </c>
      <c r="F7" s="3">
        <f t="shared" si="2"/>
        <v>-0.79999999999999982</v>
      </c>
      <c r="G7" s="3">
        <f t="shared" si="7"/>
        <v>0</v>
      </c>
      <c r="H7" s="2"/>
      <c r="J7" s="4">
        <f t="shared" si="3"/>
        <v>2.8</v>
      </c>
      <c r="K7" s="19">
        <f t="shared" si="4"/>
        <v>0.79999999999999982</v>
      </c>
      <c r="L7" s="19">
        <f t="shared" si="5"/>
        <v>0.63999999999999968</v>
      </c>
      <c r="M7" s="20">
        <f t="shared" si="6"/>
        <v>0.79999999999999982</v>
      </c>
    </row>
    <row r="8" spans="1:27" ht="13.2">
      <c r="A8" s="3"/>
      <c r="B8" s="30">
        <v>5</v>
      </c>
      <c r="C8" s="30">
        <v>5</v>
      </c>
      <c r="D8" s="14">
        <f t="shared" si="0"/>
        <v>2</v>
      </c>
      <c r="E8" s="31">
        <f t="shared" si="1"/>
        <v>4</v>
      </c>
      <c r="F8" s="14">
        <f t="shared" si="2"/>
        <v>2.2000000000000002</v>
      </c>
      <c r="G8" s="14">
        <f t="shared" si="7"/>
        <v>4.4000000000000004</v>
      </c>
      <c r="H8" s="11"/>
      <c r="I8" s="32"/>
      <c r="J8" s="32">
        <f t="shared" si="3"/>
        <v>4.3999999999999995</v>
      </c>
      <c r="K8" s="33">
        <f t="shared" si="4"/>
        <v>-0.60000000000000053</v>
      </c>
      <c r="L8" s="33">
        <f t="shared" si="5"/>
        <v>0.36000000000000065</v>
      </c>
      <c r="M8" s="20">
        <f t="shared" si="6"/>
        <v>0.60000000000000053</v>
      </c>
    </row>
    <row r="9" spans="1:27" ht="13.2">
      <c r="A9" s="3" t="s">
        <v>59</v>
      </c>
      <c r="B9" s="34">
        <f t="shared" ref="B9:F9" si="8">AVERAGE(B4:B8)</f>
        <v>3</v>
      </c>
      <c r="C9" s="34">
        <f t="shared" si="8"/>
        <v>2.8</v>
      </c>
      <c r="D9" s="3">
        <f t="shared" si="8"/>
        <v>0</v>
      </c>
      <c r="E9" s="3">
        <f t="shared" si="8"/>
        <v>2</v>
      </c>
      <c r="F9" s="3">
        <f t="shared" si="8"/>
        <v>0</v>
      </c>
      <c r="G9" s="6"/>
      <c r="H9" s="2"/>
      <c r="L9" s="4" t="s">
        <v>58</v>
      </c>
      <c r="M9" s="3">
        <f>AVERAGE(M4:M8)</f>
        <v>0.64</v>
      </c>
    </row>
    <row r="10" spans="1:27" ht="13.2">
      <c r="A10" s="2" t="s">
        <v>60</v>
      </c>
      <c r="B10" s="2"/>
      <c r="C10" s="2"/>
      <c r="D10" s="3">
        <f t="shared" ref="D10:G10" si="9">SUM(D4:D8)</f>
        <v>0</v>
      </c>
      <c r="E10" s="3">
        <f t="shared" si="9"/>
        <v>10</v>
      </c>
      <c r="F10" s="3">
        <f t="shared" si="9"/>
        <v>0</v>
      </c>
      <c r="G10" s="3">
        <f>SUM(G4:G8)</f>
        <v>8</v>
      </c>
      <c r="H10" s="2"/>
      <c r="L10" s="35">
        <f>SUM(L4:L9)</f>
        <v>2.4000000000000008</v>
      </c>
    </row>
    <row r="11" spans="1:27" ht="13.2">
      <c r="A11" s="2"/>
      <c r="B11" s="2"/>
      <c r="C11" s="2"/>
      <c r="D11" s="3"/>
      <c r="E11" s="2"/>
      <c r="F11" s="2"/>
      <c r="G11" s="2"/>
      <c r="H11" s="2"/>
    </row>
    <row r="12" spans="1:27" ht="13.2">
      <c r="A12" s="2"/>
      <c r="B12" s="2"/>
      <c r="C12" s="2"/>
      <c r="D12" s="2"/>
      <c r="E12" s="2"/>
      <c r="F12" s="2"/>
      <c r="G12" s="2"/>
      <c r="H12" s="2"/>
    </row>
    <row r="13" spans="1:27" ht="13.2">
      <c r="A13" s="2"/>
      <c r="B13" s="2"/>
      <c r="C13" s="2"/>
      <c r="D13" s="2"/>
      <c r="E13" s="2"/>
      <c r="F13" s="2"/>
      <c r="G13" s="2"/>
      <c r="H13" s="2"/>
    </row>
    <row r="14" spans="1:27" ht="13.2">
      <c r="A14" s="2"/>
      <c r="B14" s="2"/>
      <c r="C14" s="2"/>
      <c r="D14" s="2"/>
      <c r="E14" s="2"/>
      <c r="F14" s="2"/>
      <c r="G14" s="2"/>
      <c r="H14" s="2"/>
    </row>
    <row r="15" spans="1:27" ht="15.75" customHeight="1">
      <c r="A15" s="2"/>
      <c r="B15" s="2"/>
      <c r="C15" s="2"/>
      <c r="D15" s="2"/>
      <c r="E15" s="2"/>
      <c r="F15" s="2"/>
      <c r="G15" s="2"/>
      <c r="H15" s="2"/>
    </row>
    <row r="16" spans="1:27" ht="13.2">
      <c r="A16" s="2"/>
      <c r="B16" s="2"/>
      <c r="C16" s="2"/>
      <c r="D16" s="2"/>
      <c r="E16" s="2"/>
      <c r="F16" s="2"/>
      <c r="G16" s="2"/>
      <c r="H16" s="2"/>
    </row>
    <row r="17" spans="1:8" ht="13.2">
      <c r="A17" s="2"/>
      <c r="B17" s="2"/>
      <c r="C17" s="2"/>
      <c r="D17" s="2"/>
      <c r="E17" s="2"/>
      <c r="F17" s="2"/>
      <c r="G17" s="2"/>
      <c r="H17" s="2"/>
    </row>
    <row r="18" spans="1:8" ht="13.2">
      <c r="A18" s="2"/>
      <c r="D18" s="2"/>
      <c r="E18" s="2"/>
      <c r="F18" s="2"/>
      <c r="G18" s="2"/>
      <c r="H18" s="2"/>
    </row>
    <row r="19" spans="1:8" ht="13.2">
      <c r="A19" s="2"/>
      <c r="D19" s="2"/>
      <c r="E19" s="2"/>
      <c r="F19" s="2"/>
      <c r="G19" s="2"/>
      <c r="H19" s="2"/>
    </row>
    <row r="20" spans="1:8" ht="13.2">
      <c r="A20" s="2"/>
      <c r="B20" s="2"/>
      <c r="C20" s="2"/>
      <c r="D20" s="2"/>
      <c r="E20" s="2"/>
      <c r="F20" s="2"/>
      <c r="G20" s="2"/>
      <c r="H20" s="2"/>
    </row>
    <row r="21" spans="1:8" ht="13.2">
      <c r="A21" s="2"/>
      <c r="B21" s="2"/>
      <c r="C21" s="2"/>
      <c r="D21" s="2"/>
      <c r="E21" s="2"/>
      <c r="F21" s="2"/>
      <c r="G21" s="2"/>
      <c r="H21" s="2"/>
    </row>
    <row r="22" spans="1:8" ht="13.2">
      <c r="A22" s="2"/>
      <c r="B22" s="2"/>
      <c r="C22" s="2"/>
      <c r="D22" s="2"/>
      <c r="E22" s="2"/>
      <c r="F22" s="2"/>
      <c r="G22" s="2"/>
      <c r="H22" s="2"/>
    </row>
    <row r="23" spans="1:8" ht="13.2">
      <c r="A23" s="2"/>
      <c r="B23" s="2"/>
      <c r="C23" s="2"/>
      <c r="D23" s="2"/>
      <c r="E23" s="2"/>
      <c r="F23" s="2"/>
      <c r="G23" s="2"/>
    </row>
    <row r="24" spans="1:8" ht="13.2">
      <c r="A24" s="2"/>
      <c r="B24" s="2"/>
      <c r="C24" s="2"/>
      <c r="D24" s="2"/>
      <c r="E24" s="2"/>
      <c r="F24" s="2"/>
      <c r="G24" s="2"/>
    </row>
    <row r="25" spans="1:8" ht="13.2">
      <c r="A25" s="2"/>
      <c r="B25" s="2"/>
      <c r="C25" s="2"/>
      <c r="D25" s="2"/>
      <c r="E25" s="2"/>
      <c r="F25" s="2"/>
      <c r="G25" s="2"/>
    </row>
    <row r="26" spans="1:8" ht="13.2">
      <c r="A26" s="2"/>
      <c r="B26" s="2"/>
      <c r="C26" s="2"/>
      <c r="D26" s="2"/>
      <c r="E26" s="2"/>
      <c r="F26" s="2"/>
      <c r="G26" s="2"/>
    </row>
    <row r="27" spans="1:8" ht="13.2">
      <c r="A27" s="2"/>
      <c r="B27" s="2"/>
      <c r="C27" s="2"/>
      <c r="D27" s="2"/>
      <c r="E27" s="2"/>
      <c r="F27" s="2"/>
      <c r="G27" s="2"/>
    </row>
    <row r="28" spans="1:8" ht="13.2">
      <c r="A28" s="2"/>
      <c r="B28" s="2"/>
      <c r="C28" s="2"/>
      <c r="D28" s="2"/>
      <c r="E28" s="2"/>
      <c r="F28" s="2"/>
      <c r="G28" s="2"/>
    </row>
    <row r="29" spans="1:8" ht="13.2">
      <c r="A29" s="2"/>
      <c r="B29" s="2"/>
      <c r="C29" s="2"/>
      <c r="D29" s="2"/>
      <c r="E29" s="2"/>
      <c r="F29" s="2"/>
      <c r="G29" s="2"/>
    </row>
    <row r="30" spans="1:8" ht="13.2">
      <c r="A30" s="2"/>
      <c r="B30" s="2"/>
      <c r="C30" s="2"/>
      <c r="D30" s="2"/>
      <c r="E30" s="2"/>
      <c r="F30" s="2"/>
      <c r="G30" s="2"/>
    </row>
    <row r="31" spans="1:8" ht="13.2">
      <c r="A31" s="2"/>
      <c r="B31" s="2"/>
      <c r="C31" s="2"/>
      <c r="D31" s="2"/>
      <c r="E31" s="2"/>
      <c r="F31" s="2"/>
      <c r="G31" s="2"/>
    </row>
    <row r="32" spans="1:8" ht="13.2">
      <c r="A32" s="2"/>
      <c r="B32" s="2"/>
      <c r="C32" s="2"/>
      <c r="D32" s="2"/>
      <c r="E32" s="2"/>
      <c r="F32" s="2"/>
      <c r="G32" s="2"/>
    </row>
    <row r="33" spans="1:10" ht="13.2">
      <c r="A33" s="2"/>
      <c r="B33" s="2"/>
      <c r="C33" s="2"/>
      <c r="D33" s="2"/>
      <c r="E33" s="2"/>
      <c r="F33" s="2"/>
      <c r="G33" s="2"/>
    </row>
    <row r="34" spans="1:10" ht="13.2">
      <c r="A34" s="2"/>
      <c r="B34" s="2"/>
      <c r="C34" s="2"/>
      <c r="D34" s="2"/>
      <c r="E34" s="2"/>
      <c r="F34" s="2"/>
      <c r="G34" s="2"/>
    </row>
    <row r="35" spans="1:10" ht="13.2">
      <c r="A35" s="2"/>
      <c r="B35" s="2"/>
      <c r="C35" s="2"/>
      <c r="D35" s="2"/>
      <c r="E35" s="2"/>
      <c r="F35" s="2"/>
      <c r="G35" s="2"/>
    </row>
    <row r="36" spans="1:10" ht="13.2">
      <c r="A36" s="2"/>
      <c r="B36" s="2"/>
      <c r="C36" s="2"/>
      <c r="D36" s="2"/>
      <c r="E36" s="2"/>
      <c r="F36" s="2"/>
      <c r="G36" s="2"/>
    </row>
    <row r="37" spans="1:10" ht="13.2">
      <c r="A37" s="2"/>
      <c r="B37" s="2"/>
      <c r="C37" s="2"/>
      <c r="D37" s="2"/>
      <c r="E37" s="2"/>
      <c r="F37" s="2"/>
      <c r="G37" s="2"/>
    </row>
    <row r="38" spans="1:10" ht="13.2">
      <c r="A38" s="2"/>
      <c r="B38" s="2"/>
      <c r="C38" s="2"/>
      <c r="D38" s="2"/>
      <c r="E38" s="2"/>
      <c r="F38" s="2"/>
      <c r="G38" s="2"/>
    </row>
    <row r="39" spans="1:10" ht="13.2">
      <c r="A39" s="2"/>
      <c r="B39" s="2"/>
      <c r="C39" s="2"/>
      <c r="D39" s="2"/>
      <c r="E39" s="2"/>
      <c r="F39" s="2"/>
      <c r="G39" s="2"/>
    </row>
    <row r="40" spans="1:10" ht="13.2">
      <c r="A40" s="2"/>
      <c r="B40" s="2"/>
      <c r="C40" s="2"/>
      <c r="D40" s="2"/>
      <c r="E40" s="2"/>
      <c r="F40" s="2"/>
      <c r="G40" s="2"/>
      <c r="H40" s="2"/>
    </row>
    <row r="41" spans="1:10" ht="13.2">
      <c r="A41" s="2"/>
      <c r="B41" s="2"/>
      <c r="C41" s="2"/>
      <c r="D41" s="2"/>
      <c r="E41" s="2"/>
      <c r="F41" s="2"/>
      <c r="G41" s="2"/>
      <c r="H41" s="2"/>
    </row>
    <row r="42" spans="1:10" ht="13.2">
      <c r="A42" s="2"/>
      <c r="B42" s="2"/>
      <c r="C42" s="2"/>
      <c r="D42" s="2"/>
      <c r="E42" s="2"/>
      <c r="F42" s="2"/>
      <c r="G42" s="2"/>
      <c r="H42" s="2"/>
    </row>
    <row r="43" spans="1:10" ht="13.2">
      <c r="A43" s="2"/>
      <c r="B43" s="2"/>
      <c r="C43" s="2"/>
      <c r="D43" s="2"/>
      <c r="E43" s="2"/>
      <c r="F43" s="2"/>
      <c r="G43" s="2"/>
      <c r="H43" s="2"/>
    </row>
    <row r="44" spans="1:10" ht="13.2">
      <c r="A44" s="2"/>
      <c r="B44" s="2"/>
      <c r="C44" s="2"/>
      <c r="D44" s="2"/>
      <c r="E44" s="2"/>
      <c r="F44" s="2"/>
      <c r="G44" s="2"/>
      <c r="H44" s="2"/>
    </row>
    <row r="45" spans="1:10" ht="13.2">
      <c r="A45" s="2"/>
      <c r="B45" s="2"/>
      <c r="C45" s="2"/>
      <c r="D45" s="2"/>
      <c r="E45" s="2"/>
      <c r="F45" s="2"/>
      <c r="G45" s="2"/>
      <c r="H45" s="2"/>
    </row>
    <row r="46" spans="1:10" ht="13.2">
      <c r="A46" s="2"/>
      <c r="B46" s="2"/>
      <c r="C46" s="2"/>
      <c r="D46" s="2"/>
      <c r="E46" s="2"/>
      <c r="F46" s="2"/>
      <c r="G46" s="2"/>
      <c r="H46" s="2"/>
    </row>
    <row r="47" spans="1:10" ht="13.2">
      <c r="A47" s="2"/>
      <c r="B47" s="2"/>
      <c r="C47" s="2"/>
      <c r="D47" s="2"/>
      <c r="E47" s="2"/>
      <c r="F47" s="2"/>
      <c r="G47" s="2"/>
      <c r="H47" s="36"/>
      <c r="I47" s="37"/>
      <c r="J47" s="36"/>
    </row>
    <row r="48" spans="1:10" ht="13.2">
      <c r="A48" s="2"/>
      <c r="B48" s="2"/>
      <c r="C48" s="2"/>
      <c r="D48" s="2"/>
      <c r="E48" s="2"/>
      <c r="F48" s="2"/>
      <c r="G48" s="2"/>
      <c r="H48" s="2"/>
    </row>
    <row r="49" spans="1:8" ht="13.2">
      <c r="A49" s="2"/>
      <c r="B49" s="2"/>
      <c r="C49" s="2"/>
      <c r="D49" s="2"/>
      <c r="E49" s="2"/>
      <c r="F49" s="2"/>
      <c r="G49" s="2"/>
      <c r="H49" s="2"/>
    </row>
    <row r="50" spans="1:8" ht="13.2">
      <c r="A50" s="2"/>
      <c r="B50" s="2"/>
      <c r="C50" s="2"/>
      <c r="D50" s="2"/>
      <c r="E50" s="2"/>
      <c r="F50" s="2"/>
      <c r="G50" s="2"/>
      <c r="H50" s="2"/>
    </row>
    <row r="51" spans="1:8" ht="13.2">
      <c r="A51" s="2"/>
      <c r="B51" s="2"/>
      <c r="C51" s="2"/>
      <c r="D51" s="2"/>
      <c r="E51" s="2"/>
      <c r="F51" s="2"/>
      <c r="G51" s="2"/>
      <c r="H51" s="2"/>
    </row>
    <row r="52" spans="1:8" ht="13.2">
      <c r="A52" s="2"/>
      <c r="B52" s="2"/>
      <c r="C52" s="2"/>
      <c r="D52" s="2"/>
      <c r="E52" s="2"/>
      <c r="F52" s="2"/>
      <c r="G52" s="2"/>
      <c r="H52" s="2"/>
    </row>
    <row r="53" spans="1:8" ht="13.2">
      <c r="A53" s="2"/>
      <c r="B53" s="2"/>
      <c r="C53" s="2"/>
      <c r="D53" s="2"/>
      <c r="E53" s="2"/>
      <c r="F53" s="2"/>
      <c r="G53" s="2"/>
      <c r="H53" s="2"/>
    </row>
    <row r="54" spans="1:8" ht="13.2">
      <c r="A54" s="2"/>
      <c r="B54" s="2"/>
      <c r="C54" s="2"/>
      <c r="D54" s="2"/>
      <c r="E54" s="2"/>
      <c r="F54" s="2"/>
      <c r="G54" s="2"/>
      <c r="H54" s="2"/>
    </row>
    <row r="55" spans="1:8" ht="13.2">
      <c r="A55" s="2"/>
      <c r="B55" s="2"/>
      <c r="C55" s="2"/>
      <c r="D55" s="2"/>
      <c r="E55" s="2"/>
      <c r="F55" s="2"/>
      <c r="G55" s="2"/>
      <c r="H55" s="2"/>
    </row>
    <row r="56" spans="1:8" ht="13.2">
      <c r="A56" s="2"/>
      <c r="B56" s="2"/>
      <c r="C56" s="2"/>
      <c r="D56" s="2"/>
      <c r="E56" s="2"/>
      <c r="F56" s="2"/>
      <c r="G56" s="2"/>
    </row>
    <row r="57" spans="1:8" ht="13.2">
      <c r="A57" s="2"/>
      <c r="B57" s="2"/>
      <c r="C57" s="2"/>
      <c r="D57" s="2"/>
      <c r="E57" s="2"/>
      <c r="F57" s="2"/>
      <c r="G57" s="2"/>
    </row>
    <row r="58" spans="1:8" ht="13.2">
      <c r="A58" s="2"/>
      <c r="B58" s="2"/>
      <c r="C58" s="2"/>
      <c r="D58" s="2"/>
      <c r="E58" s="2"/>
      <c r="F58" s="2"/>
      <c r="G58" s="2"/>
    </row>
    <row r="59" spans="1:8" ht="13.2">
      <c r="A59" s="2"/>
      <c r="B59" s="2"/>
      <c r="C59" s="2"/>
      <c r="D59" s="2"/>
      <c r="E59" s="2"/>
      <c r="F59" s="2"/>
      <c r="G59" s="2"/>
    </row>
    <row r="60" spans="1:8" ht="13.2">
      <c r="A60" s="2"/>
      <c r="B60" s="2"/>
      <c r="C60" s="2"/>
      <c r="D60" s="2"/>
      <c r="E60" s="2"/>
      <c r="F60" s="2"/>
      <c r="G60" s="2"/>
    </row>
    <row r="61" spans="1:8" ht="13.2">
      <c r="A61" s="2"/>
      <c r="B61" s="2"/>
      <c r="C61" s="2"/>
      <c r="D61" s="2"/>
      <c r="E61" s="2"/>
      <c r="F61" s="2"/>
      <c r="G61" s="2"/>
    </row>
  </sheetData>
  <mergeCells count="1">
    <mergeCell ref="B1:D1"/>
  </mergeCells>
  <phoneticPr fontId="2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21"/>
  <sheetViews>
    <sheetView showGridLines="0" workbookViewId="0">
      <selection activeCell="F23" sqref="F23"/>
    </sheetView>
  </sheetViews>
  <sheetFormatPr defaultColWidth="12.6640625" defaultRowHeight="15.75" customHeight="1"/>
  <cols>
    <col min="1" max="1" width="15.33203125" bestFit="1" customWidth="1"/>
  </cols>
  <sheetData>
    <row r="1" spans="2:3">
      <c r="B1" s="39" t="s">
        <v>63</v>
      </c>
      <c r="C1" s="39" t="s">
        <v>64</v>
      </c>
    </row>
    <row r="2" spans="2:3">
      <c r="B2" s="39">
        <v>0</v>
      </c>
      <c r="C2" s="39">
        <f t="shared" ref="C2:C17" ca="1" si="0">COS(B2)+RAND()*100</f>
        <v>97.979973809193638</v>
      </c>
    </row>
    <row r="3" spans="2:3">
      <c r="B3" s="39">
        <f t="shared" ref="B3:B17" si="1">B2+100</f>
        <v>100</v>
      </c>
      <c r="C3" s="39">
        <f t="shared" ca="1" si="0"/>
        <v>51.454919361721316</v>
      </c>
    </row>
    <row r="4" spans="2:3">
      <c r="B4" s="39">
        <f t="shared" si="1"/>
        <v>200</v>
      </c>
      <c r="C4" s="39">
        <f t="shared" ca="1" si="0"/>
        <v>31.230178787107121</v>
      </c>
    </row>
    <row r="5" spans="2:3">
      <c r="B5" s="39">
        <f t="shared" si="1"/>
        <v>300</v>
      </c>
      <c r="C5" s="39">
        <f t="shared" ca="1" si="0"/>
        <v>67.7043003902441</v>
      </c>
    </row>
    <row r="6" spans="2:3">
      <c r="B6" s="39">
        <f t="shared" si="1"/>
        <v>400</v>
      </c>
      <c r="C6" s="39">
        <f t="shared" ca="1" si="0"/>
        <v>53.48935453252178</v>
      </c>
    </row>
    <row r="7" spans="2:3">
      <c r="B7" s="39">
        <f t="shared" si="1"/>
        <v>500</v>
      </c>
      <c r="C7" s="39">
        <f t="shared" ca="1" si="0"/>
        <v>73.042673206734889</v>
      </c>
    </row>
    <row r="8" spans="2:3">
      <c r="B8" s="39">
        <f t="shared" si="1"/>
        <v>600</v>
      </c>
      <c r="C8" s="39">
        <f t="shared" ca="1" si="0"/>
        <v>11.205965656449392</v>
      </c>
    </row>
    <row r="9" spans="2:3">
      <c r="B9" s="39">
        <f t="shared" si="1"/>
        <v>700</v>
      </c>
      <c r="C9" s="39">
        <f t="shared" ca="1" si="0"/>
        <v>41.84934777527836</v>
      </c>
    </row>
    <row r="10" spans="2:3">
      <c r="B10" s="39">
        <f t="shared" si="1"/>
        <v>800</v>
      </c>
      <c r="C10" s="39">
        <f t="shared" ca="1" si="0"/>
        <v>64.04071598386146</v>
      </c>
    </row>
    <row r="11" spans="2:3">
      <c r="B11" s="39">
        <f t="shared" si="1"/>
        <v>900</v>
      </c>
      <c r="C11" s="39">
        <f t="shared" ca="1" si="0"/>
        <v>20.066181281651158</v>
      </c>
    </row>
    <row r="12" spans="2:3">
      <c r="B12" s="39">
        <f t="shared" si="1"/>
        <v>1000</v>
      </c>
      <c r="C12" s="39">
        <f t="shared" ca="1" si="0"/>
        <v>43.659254858915112</v>
      </c>
    </row>
    <row r="13" spans="2:3">
      <c r="B13" s="39">
        <f t="shared" si="1"/>
        <v>1100</v>
      </c>
      <c r="C13" s="39">
        <f t="shared" ca="1" si="0"/>
        <v>34.214572815873836</v>
      </c>
    </row>
    <row r="14" spans="2:3">
      <c r="B14" s="39">
        <f t="shared" si="1"/>
        <v>1200</v>
      </c>
      <c r="C14" s="39">
        <f t="shared" ca="1" si="0"/>
        <v>43.371464575504589</v>
      </c>
    </row>
    <row r="15" spans="2:3">
      <c r="B15" s="39">
        <f t="shared" si="1"/>
        <v>1300</v>
      </c>
      <c r="C15" s="39">
        <f t="shared" ca="1" si="0"/>
        <v>52.720979579425936</v>
      </c>
    </row>
    <row r="16" spans="2:3">
      <c r="B16" s="39">
        <f t="shared" si="1"/>
        <v>1400</v>
      </c>
      <c r="C16" s="39">
        <f t="shared" ca="1" si="0"/>
        <v>28.786189734720708</v>
      </c>
    </row>
    <row r="17" spans="1:3">
      <c r="B17" s="39">
        <f t="shared" si="1"/>
        <v>1500</v>
      </c>
      <c r="C17" s="39">
        <f t="shared" ca="1" si="0"/>
        <v>58.13796177850314</v>
      </c>
    </row>
    <row r="18" spans="1:3">
      <c r="B18" s="39"/>
      <c r="C18" s="39"/>
    </row>
    <row r="19" spans="1:3">
      <c r="A19" s="4" t="s">
        <v>65</v>
      </c>
      <c r="B19" s="4" t="s">
        <v>66</v>
      </c>
    </row>
    <row r="20" spans="1:3">
      <c r="A20" s="4" t="s">
        <v>67</v>
      </c>
      <c r="B20" s="4" t="s">
        <v>68</v>
      </c>
    </row>
    <row r="21" spans="1:3">
      <c r="A21" s="4" t="s">
        <v>69</v>
      </c>
      <c r="B21" s="4" t="s">
        <v>70</v>
      </c>
    </row>
  </sheetData>
  <phoneticPr fontId="26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18"/>
  <sheetViews>
    <sheetView showGridLines="0" topLeftCell="F1" workbookViewId="0">
      <selection activeCell="N20" sqref="N20"/>
    </sheetView>
  </sheetViews>
  <sheetFormatPr defaultColWidth="12.6640625" defaultRowHeight="15.75" customHeight="1"/>
  <sheetData>
    <row r="1" spans="1:4">
      <c r="B1" s="97" t="s">
        <v>71</v>
      </c>
      <c r="C1" s="96"/>
      <c r="D1" s="2"/>
    </row>
    <row r="2" spans="1:4">
      <c r="B2" s="2"/>
      <c r="C2" s="2"/>
      <c r="D2" s="2"/>
    </row>
    <row r="3" spans="1:4">
      <c r="B3" s="40" t="s">
        <v>72</v>
      </c>
      <c r="C3" s="40" t="s">
        <v>73</v>
      </c>
      <c r="D3" s="40" t="s">
        <v>74</v>
      </c>
    </row>
    <row r="4" spans="1:4">
      <c r="B4" s="3">
        <v>-5</v>
      </c>
      <c r="C4" s="41">
        <f t="shared" ref="C4:C14" si="0">1/(1+EXP(-B4))</f>
        <v>6.6928509242848554E-3</v>
      </c>
      <c r="D4" s="41">
        <f t="shared" ref="D4:D14" si="1">EXP(-B4) / (1+EXP(-B4))^2</f>
        <v>6.6480566707901546E-3</v>
      </c>
    </row>
    <row r="5" spans="1:4">
      <c r="B5" s="3">
        <v>-4</v>
      </c>
      <c r="C5" s="41">
        <f t="shared" si="0"/>
        <v>1.7986209962091559E-2</v>
      </c>
      <c r="D5" s="41">
        <f t="shared" si="1"/>
        <v>1.7662706213291118E-2</v>
      </c>
    </row>
    <row r="6" spans="1:4">
      <c r="B6" s="3">
        <v>-3</v>
      </c>
      <c r="C6" s="41">
        <f t="shared" si="0"/>
        <v>4.7425873177566781E-2</v>
      </c>
      <c r="D6" s="41">
        <f t="shared" si="1"/>
        <v>4.517665973091213E-2</v>
      </c>
    </row>
    <row r="7" spans="1:4">
      <c r="B7" s="3">
        <v>-2</v>
      </c>
      <c r="C7" s="41">
        <f t="shared" si="0"/>
        <v>0.11920292202211755</v>
      </c>
      <c r="D7" s="41">
        <f t="shared" si="1"/>
        <v>0.10499358540350652</v>
      </c>
    </row>
    <row r="8" spans="1:4">
      <c r="B8" s="3">
        <v>-1</v>
      </c>
      <c r="C8" s="41">
        <f t="shared" si="0"/>
        <v>0.2689414213699951</v>
      </c>
      <c r="D8" s="41">
        <f t="shared" si="1"/>
        <v>0.19661193324148185</v>
      </c>
    </row>
    <row r="9" spans="1:4">
      <c r="B9" s="3">
        <v>0</v>
      </c>
      <c r="C9" s="41">
        <f t="shared" si="0"/>
        <v>0.5</v>
      </c>
      <c r="D9" s="41">
        <f t="shared" si="1"/>
        <v>0.25</v>
      </c>
    </row>
    <row r="10" spans="1:4">
      <c r="B10" s="3">
        <v>1</v>
      </c>
      <c r="C10" s="41">
        <f t="shared" si="0"/>
        <v>0.7310585786300049</v>
      </c>
      <c r="D10" s="41">
        <f t="shared" si="1"/>
        <v>0.19661193324148188</v>
      </c>
    </row>
    <row r="11" spans="1:4">
      <c r="B11" s="3">
        <v>2</v>
      </c>
      <c r="C11" s="41">
        <f t="shared" si="0"/>
        <v>0.88079707797788231</v>
      </c>
      <c r="D11" s="41">
        <f t="shared" si="1"/>
        <v>0.10499358540350651</v>
      </c>
    </row>
    <row r="12" spans="1:4">
      <c r="B12" s="3">
        <v>3</v>
      </c>
      <c r="C12" s="41">
        <f t="shared" si="0"/>
        <v>0.95257412682243336</v>
      </c>
      <c r="D12" s="41">
        <f t="shared" si="1"/>
        <v>4.5176659730912144E-2</v>
      </c>
    </row>
    <row r="13" spans="1:4">
      <c r="B13" s="3">
        <v>4</v>
      </c>
      <c r="C13" s="41">
        <f t="shared" si="0"/>
        <v>0.98201379003790845</v>
      </c>
      <c r="D13" s="41">
        <f t="shared" si="1"/>
        <v>1.7662706213291114E-2</v>
      </c>
    </row>
    <row r="14" spans="1:4">
      <c r="B14" s="3">
        <v>5</v>
      </c>
      <c r="C14" s="41">
        <f t="shared" si="0"/>
        <v>0.99330714907571527</v>
      </c>
      <c r="D14" s="41">
        <f t="shared" si="1"/>
        <v>6.6480566707901563E-3</v>
      </c>
    </row>
    <row r="16" spans="1:4">
      <c r="A16" s="42"/>
    </row>
    <row r="18" spans="7:7">
      <c r="G18" s="43"/>
    </row>
  </sheetData>
  <mergeCells count="1">
    <mergeCell ref="B1:C1"/>
  </mergeCells>
  <phoneticPr fontId="26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32"/>
  <sheetViews>
    <sheetView showGridLines="0" topLeftCell="A17" workbookViewId="0">
      <selection activeCell="I45" sqref="I45"/>
    </sheetView>
  </sheetViews>
  <sheetFormatPr defaultColWidth="12.6640625" defaultRowHeight="15.75" customHeight="1"/>
  <cols>
    <col min="1" max="3" width="11.33203125" customWidth="1"/>
    <col min="4" max="4" width="14" bestFit="1" customWidth="1"/>
    <col min="5" max="6" width="11.33203125" customWidth="1"/>
    <col min="7" max="7" width="14.109375" customWidth="1"/>
    <col min="8" max="9" width="11.33203125" customWidth="1"/>
    <col min="11" max="11" width="13.109375" bestFit="1" customWidth="1"/>
  </cols>
  <sheetData>
    <row r="1" spans="1:10" ht="13.2">
      <c r="A1" s="95" t="s">
        <v>75</v>
      </c>
      <c r="B1" s="96"/>
      <c r="C1" s="96"/>
    </row>
    <row r="2" spans="1:10" ht="13.2">
      <c r="A2" s="2"/>
      <c r="B2" s="2"/>
      <c r="C2" s="2"/>
    </row>
    <row r="3" spans="1:10" ht="13.2">
      <c r="A3" s="2"/>
      <c r="B3" s="2"/>
      <c r="C3" s="2"/>
    </row>
    <row r="4" spans="1:10" ht="13.2">
      <c r="A4" s="1" t="s">
        <v>43</v>
      </c>
      <c r="B4" s="2"/>
      <c r="C4" s="2"/>
      <c r="D4" s="44" t="s">
        <v>25</v>
      </c>
      <c r="E4" s="44" t="s">
        <v>26</v>
      </c>
      <c r="F4" s="44" t="s">
        <v>76</v>
      </c>
      <c r="G4" s="43" t="s">
        <v>77</v>
      </c>
      <c r="H4" s="43"/>
      <c r="I4" s="43"/>
      <c r="J4" s="43"/>
    </row>
    <row r="5" spans="1:10" ht="13.2">
      <c r="A5" s="45" t="s">
        <v>61</v>
      </c>
      <c r="B5" s="45" t="s">
        <v>62</v>
      </c>
      <c r="C5" s="46" t="s">
        <v>64</v>
      </c>
      <c r="D5" s="47">
        <f>C30</f>
        <v>-29.548609217957456</v>
      </c>
      <c r="E5" s="48">
        <f>C31</f>
        <v>13.43934906918097</v>
      </c>
      <c r="F5" s="49">
        <f>C32</f>
        <v>-10.844867723007766</v>
      </c>
      <c r="G5" s="50" t="s">
        <v>78</v>
      </c>
      <c r="H5" s="51" t="s">
        <v>79</v>
      </c>
      <c r="I5" s="45" t="s">
        <v>80</v>
      </c>
      <c r="J5" s="52" t="s">
        <v>81</v>
      </c>
    </row>
    <row r="6" spans="1:10" ht="13.2">
      <c r="A6" s="53">
        <v>2.7810836000000001</v>
      </c>
      <c r="B6" s="53">
        <v>2.5505369999999998</v>
      </c>
      <c r="C6" s="54">
        <v>0</v>
      </c>
      <c r="D6" s="55">
        <f t="shared" ref="D6:D15" si="0">D5</f>
        <v>-29.548609217957456</v>
      </c>
      <c r="E6" s="55">
        <f>E$5*A6</f>
        <v>37.375953290974465</v>
      </c>
      <c r="F6" s="55">
        <f t="shared" ref="F6" si="1">F$5*B6</f>
        <v>-27.660236387637056</v>
      </c>
      <c r="G6" s="56">
        <f t="shared" ref="G6:G15" si="2">(1/(1+EXP(-SUM(D6:F6))))</f>
        <v>2.4360393905424276E-9</v>
      </c>
      <c r="H6" s="57">
        <f t="shared" ref="H6:H15" si="3">IF(C6 = 1, -C6*LOG(G6), -(1-C6)*LOG((1-G6)))</f>
        <v>1.057958457475906E-9</v>
      </c>
      <c r="I6" s="58">
        <f t="shared" ref="I6:I15" si="4">IF(G6&gt;= 0.5, 1, 0)</f>
        <v>0</v>
      </c>
      <c r="J6" s="55">
        <f t="shared" ref="J6:J15" si="5">C6-I6</f>
        <v>0</v>
      </c>
    </row>
    <row r="7" spans="1:10" ht="13.2">
      <c r="A7" s="53">
        <v>1.46548937</v>
      </c>
      <c r="B7" s="53">
        <v>2.3621250800000002</v>
      </c>
      <c r="C7" s="54">
        <v>0</v>
      </c>
      <c r="D7" s="55">
        <f t="shared" si="0"/>
        <v>-29.548609217957456</v>
      </c>
      <c r="E7" s="55">
        <f t="shared" ref="E7:F7" si="6">E$5*A7</f>
        <v>19.695223200604108</v>
      </c>
      <c r="F7" s="55">
        <f t="shared" si="6"/>
        <v>-25.61693403779914</v>
      </c>
      <c r="G7" s="56">
        <f t="shared" si="2"/>
        <v>3.9394512334229589E-16</v>
      </c>
      <c r="H7" s="57">
        <f t="shared" si="3"/>
        <v>1.9286549331065747E-16</v>
      </c>
      <c r="I7" s="58">
        <f t="shared" si="4"/>
        <v>0</v>
      </c>
      <c r="J7" s="55">
        <f t="shared" si="5"/>
        <v>0</v>
      </c>
    </row>
    <row r="8" spans="1:10" ht="13.2">
      <c r="A8" s="53">
        <v>3.39656169</v>
      </c>
      <c r="B8" s="53">
        <v>4.4002935299999999</v>
      </c>
      <c r="C8" s="54">
        <v>0</v>
      </c>
      <c r="D8" s="55">
        <f t="shared" si="0"/>
        <v>-29.548609217957456</v>
      </c>
      <c r="E8" s="55">
        <f t="shared" ref="E8:F8" si="7">E$5*A8</f>
        <v>45.647578186917244</v>
      </c>
      <c r="F8" s="55">
        <f t="shared" si="7"/>
        <v>-47.720601275256904</v>
      </c>
      <c r="G8" s="56">
        <f t="shared" si="2"/>
        <v>1.8488410727341797E-14</v>
      </c>
      <c r="H8" s="57">
        <f t="shared" si="3"/>
        <v>8.0521343457200227E-15</v>
      </c>
      <c r="I8" s="58">
        <f t="shared" si="4"/>
        <v>0</v>
      </c>
      <c r="J8" s="55">
        <f t="shared" si="5"/>
        <v>0</v>
      </c>
    </row>
    <row r="9" spans="1:10" ht="13.2">
      <c r="A9" s="53">
        <v>1.3880701900000001</v>
      </c>
      <c r="B9" s="53">
        <v>1.85022032</v>
      </c>
      <c r="C9" s="54">
        <v>0</v>
      </c>
      <c r="D9" s="55">
        <f t="shared" si="0"/>
        <v>-29.548609217957456</v>
      </c>
      <c r="E9" s="55">
        <f t="shared" ref="E9:F9" si="8">E$5*A9</f>
        <v>18.654759815934355</v>
      </c>
      <c r="F9" s="55">
        <f t="shared" si="8"/>
        <v>-20.0653946288211</v>
      </c>
      <c r="G9" s="56">
        <f t="shared" si="2"/>
        <v>3.5856769012160953E-14</v>
      </c>
      <c r="H9" s="57">
        <f t="shared" si="3"/>
        <v>1.5573888584835866E-14</v>
      </c>
      <c r="I9" s="58">
        <f t="shared" si="4"/>
        <v>0</v>
      </c>
      <c r="J9" s="55">
        <f t="shared" si="5"/>
        <v>0</v>
      </c>
    </row>
    <row r="10" spans="1:10" ht="13.2">
      <c r="A10" s="53">
        <v>3.0640723200000002</v>
      </c>
      <c r="B10" s="53">
        <v>3.0053059700000002</v>
      </c>
      <c r="C10" s="54">
        <v>0</v>
      </c>
      <c r="D10" s="55">
        <f t="shared" si="0"/>
        <v>-29.548609217957456</v>
      </c>
      <c r="E10" s="55">
        <f t="shared" ref="E10:F10" si="9">E$5*A10</f>
        <v>41.179137481695179</v>
      </c>
      <c r="F10" s="55">
        <f t="shared" si="9"/>
        <v>-32.592145711815547</v>
      </c>
      <c r="G10" s="56">
        <f t="shared" si="2"/>
        <v>7.8792559835013764E-10</v>
      </c>
      <c r="H10" s="57">
        <f t="shared" si="3"/>
        <v>3.4219174629036474E-10</v>
      </c>
      <c r="I10" s="58">
        <f t="shared" si="4"/>
        <v>0</v>
      </c>
      <c r="J10" s="55">
        <f t="shared" si="5"/>
        <v>0</v>
      </c>
    </row>
    <row r="11" spans="1:10" ht="13.2">
      <c r="A11" s="53">
        <v>7.6275312099999999</v>
      </c>
      <c r="B11" s="53">
        <v>2.75926224</v>
      </c>
      <c r="C11" s="54">
        <v>1</v>
      </c>
      <c r="D11" s="55">
        <f t="shared" si="0"/>
        <v>-29.548609217957456</v>
      </c>
      <c r="E11" s="55">
        <f t="shared" ref="E11:F11" si="10">E$5*A11</f>
        <v>102.5090544672623</v>
      </c>
      <c r="F11" s="55">
        <f t="shared" si="10"/>
        <v>-29.923834005890107</v>
      </c>
      <c r="G11" s="56">
        <f t="shared" si="2"/>
        <v>1</v>
      </c>
      <c r="H11" s="57">
        <f t="shared" si="3"/>
        <v>0</v>
      </c>
      <c r="I11" s="58">
        <f t="shared" si="4"/>
        <v>1</v>
      </c>
      <c r="J11" s="55">
        <f t="shared" si="5"/>
        <v>0</v>
      </c>
    </row>
    <row r="12" spans="1:10" ht="13.2">
      <c r="A12" s="53">
        <v>5.3324412499999996</v>
      </c>
      <c r="B12" s="53">
        <v>2.0886267799999998</v>
      </c>
      <c r="C12" s="54">
        <v>1</v>
      </c>
      <c r="D12" s="55">
        <f t="shared" si="0"/>
        <v>-29.548609217957456</v>
      </c>
      <c r="E12" s="55">
        <f t="shared" ref="E12:F12" si="11">E$5*A12</f>
        <v>71.664539349649701</v>
      </c>
      <c r="F12" s="55">
        <f t="shared" si="11"/>
        <v>-22.650881151831641</v>
      </c>
      <c r="G12" s="56">
        <f t="shared" si="2"/>
        <v>0.99999999648085924</v>
      </c>
      <c r="H12" s="57">
        <f t="shared" si="3"/>
        <v>1.5283434143129481E-9</v>
      </c>
      <c r="I12" s="58">
        <f t="shared" si="4"/>
        <v>1</v>
      </c>
      <c r="J12" s="55">
        <f t="shared" si="5"/>
        <v>0</v>
      </c>
    </row>
    <row r="13" spans="1:10" ht="13.2">
      <c r="A13" s="53">
        <v>6.9225967199999996</v>
      </c>
      <c r="B13" s="53">
        <v>1.77106367</v>
      </c>
      <c r="C13" s="54">
        <v>1</v>
      </c>
      <c r="D13" s="55">
        <f t="shared" si="0"/>
        <v>-29.548609217957456</v>
      </c>
      <c r="E13" s="55">
        <f t="shared" ref="E13:F13" si="12">E$5*A13</f>
        <v>93.03519378524723</v>
      </c>
      <c r="F13" s="55">
        <f t="shared" si="12"/>
        <v>-19.206951230174678</v>
      </c>
      <c r="G13" s="56">
        <f t="shared" si="2"/>
        <v>1</v>
      </c>
      <c r="H13" s="57">
        <f t="shared" si="3"/>
        <v>0</v>
      </c>
      <c r="I13" s="58">
        <f t="shared" si="4"/>
        <v>1</v>
      </c>
      <c r="J13" s="55">
        <f t="shared" si="5"/>
        <v>0</v>
      </c>
    </row>
    <row r="14" spans="1:10" ht="13.2">
      <c r="A14" s="53">
        <v>8.6754186499999992</v>
      </c>
      <c r="B14" s="53">
        <v>-0.2420687</v>
      </c>
      <c r="C14" s="54">
        <v>1</v>
      </c>
      <c r="D14" s="55">
        <f t="shared" si="0"/>
        <v>-29.548609217957456</v>
      </c>
      <c r="E14" s="55">
        <f t="shared" ref="E14:F14" si="13">E$5*A14</f>
        <v>116.59197955863272</v>
      </c>
      <c r="F14" s="55">
        <f t="shared" si="13"/>
        <v>2.6252030313804502</v>
      </c>
      <c r="G14" s="56">
        <f t="shared" si="2"/>
        <v>1</v>
      </c>
      <c r="H14" s="57">
        <f t="shared" si="3"/>
        <v>0</v>
      </c>
      <c r="I14" s="58">
        <f t="shared" si="4"/>
        <v>1</v>
      </c>
      <c r="J14" s="55">
        <f t="shared" si="5"/>
        <v>0</v>
      </c>
    </row>
    <row r="15" spans="1:10" ht="13.2">
      <c r="A15" s="53">
        <v>7.6737564699999998</v>
      </c>
      <c r="B15" s="53">
        <v>3.50856301</v>
      </c>
      <c r="C15" s="59">
        <v>1</v>
      </c>
      <c r="D15" s="55">
        <f t="shared" si="0"/>
        <v>-29.548609217957456</v>
      </c>
      <c r="E15" s="55">
        <f t="shared" ref="E15:F15" si="14">E$5*A15</f>
        <v>103.13029187221595</v>
      </c>
      <c r="F15" s="55">
        <f t="shared" si="14"/>
        <v>-38.049901741287975</v>
      </c>
      <c r="G15" s="60">
        <f t="shared" si="2"/>
        <v>0.99999999999999956</v>
      </c>
      <c r="H15" s="57">
        <f t="shared" si="3"/>
        <v>1.9286549331065747E-16</v>
      </c>
      <c r="I15" s="58">
        <f t="shared" si="4"/>
        <v>1</v>
      </c>
      <c r="J15" s="55">
        <f t="shared" si="5"/>
        <v>0</v>
      </c>
    </row>
    <row r="16" spans="1:10" ht="21.75" customHeight="1">
      <c r="G16" s="55"/>
      <c r="H16" s="61">
        <f>SUM(H6:H15)</f>
        <v>2.9285176298331359E-9</v>
      </c>
      <c r="I16" s="62" t="s">
        <v>82</v>
      </c>
      <c r="J16" s="43"/>
    </row>
    <row r="17" spans="2:10" ht="13.2">
      <c r="B17" s="3"/>
      <c r="C17" s="3"/>
      <c r="D17" s="3"/>
    </row>
    <row r="21" spans="2:10" ht="13.2">
      <c r="B21" s="4" t="s">
        <v>83</v>
      </c>
    </row>
    <row r="23" spans="2:10" ht="13.2">
      <c r="B23" s="4" t="s">
        <v>84</v>
      </c>
    </row>
    <row r="24" spans="2:10" ht="13.2">
      <c r="B24" s="4" t="s">
        <v>85</v>
      </c>
      <c r="C24" s="4">
        <v>13.862943574539571</v>
      </c>
    </row>
    <row r="25" spans="2:10" ht="13.2">
      <c r="B25" s="4" t="s">
        <v>86</v>
      </c>
      <c r="C25" s="4">
        <v>3.6659335645122039E-8</v>
      </c>
    </row>
    <row r="26" spans="2:10" ht="13.2">
      <c r="B26" s="4" t="s">
        <v>87</v>
      </c>
      <c r="C26" s="4">
        <v>21</v>
      </c>
    </row>
    <row r="27" spans="2:10" ht="13.2">
      <c r="B27" s="4" t="s">
        <v>88</v>
      </c>
      <c r="C27" s="4">
        <v>10</v>
      </c>
    </row>
    <row r="29" spans="2:10" s="89" customFormat="1" ht="13.2">
      <c r="C29" s="91" t="s">
        <v>89</v>
      </c>
      <c r="D29" s="90" t="s">
        <v>90</v>
      </c>
      <c r="E29" s="92" t="s">
        <v>91</v>
      </c>
      <c r="F29" s="91" t="s">
        <v>92</v>
      </c>
      <c r="G29" s="6" t="s">
        <v>93</v>
      </c>
      <c r="H29" s="6" t="s">
        <v>94</v>
      </c>
      <c r="I29" s="6" t="s">
        <v>93</v>
      </c>
      <c r="J29" s="6" t="s">
        <v>94</v>
      </c>
    </row>
    <row r="30" spans="2:10" s="89" customFormat="1" ht="13.2">
      <c r="B30" s="6" t="s">
        <v>95</v>
      </c>
      <c r="C30" s="94">
        <v>-29.548609217957456</v>
      </c>
      <c r="D30" s="6">
        <v>159347.64379951035</v>
      </c>
      <c r="E30" s="93">
        <v>0.99985204438301734</v>
      </c>
      <c r="F30" s="37">
        <f>EXP(C30)</f>
        <v>1.4696098993270711E-13</v>
      </c>
      <c r="G30" s="6">
        <v>0</v>
      </c>
      <c r="H30" s="6" t="s">
        <v>96</v>
      </c>
      <c r="I30" s="6">
        <v>0</v>
      </c>
      <c r="J30" s="6" t="s">
        <v>96</v>
      </c>
    </row>
    <row r="31" spans="2:10" s="89" customFormat="1" ht="13.2">
      <c r="B31" s="6" t="s">
        <v>61</v>
      </c>
      <c r="C31" s="94">
        <v>13.43934906918097</v>
      </c>
      <c r="D31" s="6">
        <v>12195.419443845152</v>
      </c>
      <c r="E31" s="93">
        <v>0.99912073159856751</v>
      </c>
      <c r="F31" s="37">
        <f t="shared" ref="F31:F32" si="15">EXP(C31)</f>
        <v>686491.4634192657</v>
      </c>
      <c r="G31" s="6">
        <v>0</v>
      </c>
      <c r="H31" s="6" t="s">
        <v>96</v>
      </c>
      <c r="I31" s="6">
        <v>0</v>
      </c>
      <c r="J31" s="6" t="s">
        <v>96</v>
      </c>
    </row>
    <row r="32" spans="2:10" s="89" customFormat="1" ht="13.2">
      <c r="B32" s="6" t="s">
        <v>62</v>
      </c>
      <c r="C32" s="94">
        <v>-10.844867723007766</v>
      </c>
      <c r="D32" s="6">
        <v>47874.894454413145</v>
      </c>
      <c r="E32" s="93">
        <v>0.99981925908046909</v>
      </c>
      <c r="F32" s="37">
        <f t="shared" si="15"/>
        <v>1.9504453711569063E-5</v>
      </c>
      <c r="G32" s="6">
        <v>0</v>
      </c>
      <c r="H32" s="6" t="s">
        <v>96</v>
      </c>
      <c r="I32" s="6">
        <v>0</v>
      </c>
      <c r="J32" s="6" t="s">
        <v>96</v>
      </c>
    </row>
  </sheetData>
  <mergeCells count="1">
    <mergeCell ref="A1:C1"/>
  </mergeCells>
  <phoneticPr fontId="26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I974"/>
  <sheetViews>
    <sheetView showGridLines="0" workbookViewId="0">
      <selection activeCell="F21" sqref="F21"/>
    </sheetView>
  </sheetViews>
  <sheetFormatPr defaultColWidth="12.6640625" defaultRowHeight="15.75" customHeight="1"/>
  <cols>
    <col min="1" max="1" width="9" customWidth="1"/>
    <col min="2" max="2" width="22.44140625" customWidth="1"/>
    <col min="3" max="3" width="19.6640625" customWidth="1"/>
    <col min="4" max="4" width="27.6640625" style="79" customWidth="1"/>
    <col min="5" max="5" width="31.88671875" style="79" customWidth="1"/>
    <col min="6" max="6" width="31.88671875" customWidth="1"/>
    <col min="7" max="7" width="24.33203125" customWidth="1"/>
  </cols>
  <sheetData>
    <row r="1" spans="1:9" ht="16.2" thickBot="1">
      <c r="A1" s="67"/>
      <c r="B1" s="68" t="s">
        <v>106</v>
      </c>
      <c r="C1" s="69" t="s">
        <v>109</v>
      </c>
      <c r="D1" s="72" t="s">
        <v>108</v>
      </c>
      <c r="E1" s="73" t="s">
        <v>103</v>
      </c>
      <c r="F1" s="70" t="s">
        <v>107</v>
      </c>
      <c r="G1" s="71" t="s">
        <v>97</v>
      </c>
      <c r="H1" s="32"/>
      <c r="I1" s="32"/>
    </row>
    <row r="2" spans="1:9" ht="13.8" thickTop="1">
      <c r="A2" s="38" t="s">
        <v>104</v>
      </c>
      <c r="B2" s="43" t="s">
        <v>101</v>
      </c>
      <c r="C2" s="43">
        <v>1</v>
      </c>
      <c r="D2" s="74">
        <v>0.9</v>
      </c>
      <c r="E2" s="75">
        <f>1-D2</f>
        <v>9.9999999999999978E-2</v>
      </c>
      <c r="F2" s="65">
        <f>-(C2*LN(D2)+(1-C2)*LN(E2))</f>
        <v>0.10536051565782628</v>
      </c>
      <c r="G2" s="66">
        <f>(C2-E2)^2</f>
        <v>0.81</v>
      </c>
    </row>
    <row r="3" spans="1:9" ht="13.2">
      <c r="A3" s="4"/>
      <c r="B3" s="43" t="s">
        <v>102</v>
      </c>
      <c r="C3" s="43">
        <v>0</v>
      </c>
      <c r="D3" s="74">
        <v>0.1</v>
      </c>
      <c r="E3" s="75">
        <f t="shared" ref="E3:E4" si="0">1-D3</f>
        <v>0.9</v>
      </c>
      <c r="F3" s="65">
        <f t="shared" ref="F3:F6" si="1">-(C3*LN(D3)+(1-C3)*LN(E3))</f>
        <v>0.10536051565782628</v>
      </c>
      <c r="G3" s="66">
        <f>(C3-E3)^2</f>
        <v>0.81</v>
      </c>
    </row>
    <row r="4" spans="1:9" ht="13.2">
      <c r="A4" s="4"/>
      <c r="B4" s="43" t="s">
        <v>102</v>
      </c>
      <c r="C4" s="43">
        <v>0</v>
      </c>
      <c r="D4" s="76">
        <v>0.2</v>
      </c>
      <c r="E4" s="75">
        <f t="shared" si="0"/>
        <v>0.8</v>
      </c>
      <c r="F4" s="65">
        <f t="shared" si="1"/>
        <v>0.22314355131420971</v>
      </c>
      <c r="G4" s="66">
        <f>(C4-E4)^2</f>
        <v>0.64000000000000012</v>
      </c>
    </row>
    <row r="5" spans="1:9" ht="13.2">
      <c r="A5" s="4"/>
      <c r="B5" s="43" t="s">
        <v>101</v>
      </c>
      <c r="C5" s="43">
        <v>1</v>
      </c>
      <c r="D5" s="76">
        <v>0.65</v>
      </c>
      <c r="E5" s="75">
        <f t="shared" ref="E5:E14" si="2">1-D5</f>
        <v>0.35</v>
      </c>
      <c r="F5" s="65">
        <f t="shared" si="1"/>
        <v>0.43078291609245423</v>
      </c>
      <c r="G5" s="66">
        <f>(C5-E5)^2</f>
        <v>0.42250000000000004</v>
      </c>
    </row>
    <row r="6" spans="1:9" ht="13.8" thickBot="1">
      <c r="A6" s="4"/>
      <c r="B6" s="43" t="s">
        <v>102</v>
      </c>
      <c r="C6" s="43">
        <v>0</v>
      </c>
      <c r="D6" s="74">
        <v>0.25</v>
      </c>
      <c r="E6" s="75">
        <f t="shared" si="2"/>
        <v>0.75</v>
      </c>
      <c r="F6" s="80">
        <f t="shared" si="1"/>
        <v>0.2876820724517809</v>
      </c>
      <c r="G6" s="81">
        <f>(C6-E6)^2</f>
        <v>0.5625</v>
      </c>
    </row>
    <row r="7" spans="1:9" ht="13.8" thickTop="1">
      <c r="B7" s="43"/>
      <c r="C7" s="43"/>
      <c r="D7" s="77" t="s">
        <v>98</v>
      </c>
      <c r="E7" s="78"/>
      <c r="F7" s="63">
        <f>SUM(F2:F6)/5</f>
        <v>0.23046591423481946</v>
      </c>
      <c r="G7" s="64"/>
    </row>
    <row r="8" spans="1:9" ht="13.2">
      <c r="B8" s="43"/>
      <c r="C8" s="43"/>
      <c r="D8" s="77"/>
      <c r="E8" s="78"/>
    </row>
    <row r="9" spans="1:9" ht="13.2">
      <c r="B9" s="43"/>
      <c r="C9" s="43"/>
      <c r="D9" s="77"/>
      <c r="E9" s="78"/>
    </row>
    <row r="10" spans="1:9" ht="13.2">
      <c r="A10" s="38" t="s">
        <v>105</v>
      </c>
      <c r="B10" s="43" t="s">
        <v>101</v>
      </c>
      <c r="C10" s="43">
        <v>1</v>
      </c>
      <c r="D10" s="74">
        <v>0.86</v>
      </c>
      <c r="E10" s="75">
        <f t="shared" si="2"/>
        <v>0.14000000000000001</v>
      </c>
      <c r="F10" s="65">
        <f>-(C10*LN(D10)+(1-C10)*LN(E10))</f>
        <v>0.15082288973458366</v>
      </c>
      <c r="G10" s="64"/>
    </row>
    <row r="11" spans="1:9" ht="13.2">
      <c r="B11" s="43" t="s">
        <v>102</v>
      </c>
      <c r="C11" s="43">
        <v>0</v>
      </c>
      <c r="D11" s="74">
        <v>0.45</v>
      </c>
      <c r="E11" s="75">
        <f t="shared" si="2"/>
        <v>0.55000000000000004</v>
      </c>
      <c r="F11" s="65">
        <f t="shared" ref="F11:F14" si="3">-(C11*LN(D11)+(1-C11)*LN(E11))</f>
        <v>0.59783700075562041</v>
      </c>
      <c r="G11" s="64"/>
    </row>
    <row r="12" spans="1:9" ht="13.2">
      <c r="B12" s="43" t="s">
        <v>102</v>
      </c>
      <c r="C12" s="43">
        <v>0</v>
      </c>
      <c r="D12" s="76">
        <v>0.23</v>
      </c>
      <c r="E12" s="75">
        <f t="shared" si="2"/>
        <v>0.77</v>
      </c>
      <c r="F12" s="65">
        <f t="shared" si="3"/>
        <v>0.26136476413440751</v>
      </c>
      <c r="G12" s="64"/>
    </row>
    <row r="13" spans="1:9" ht="13.2">
      <c r="B13" s="43" t="s">
        <v>101</v>
      </c>
      <c r="C13" s="43">
        <v>1</v>
      </c>
      <c r="D13" s="76">
        <v>0.56000000000000005</v>
      </c>
      <c r="E13" s="75">
        <f t="shared" si="2"/>
        <v>0.43999999999999995</v>
      </c>
      <c r="F13" s="65">
        <f t="shared" si="3"/>
        <v>0.57981849525294205</v>
      </c>
      <c r="G13" s="64"/>
    </row>
    <row r="14" spans="1:9" ht="13.8" thickBot="1">
      <c r="B14" s="43" t="s">
        <v>102</v>
      </c>
      <c r="C14" s="43">
        <v>0</v>
      </c>
      <c r="D14" s="74">
        <v>0.44</v>
      </c>
      <c r="E14" s="75">
        <f t="shared" si="2"/>
        <v>0.56000000000000005</v>
      </c>
      <c r="F14" s="80">
        <f t="shared" si="3"/>
        <v>0.57981849525294205</v>
      </c>
      <c r="G14" s="82"/>
    </row>
    <row r="15" spans="1:9" ht="13.8" thickTop="1">
      <c r="B15" s="43"/>
      <c r="C15" s="43"/>
      <c r="D15" s="77"/>
      <c r="E15" s="77"/>
      <c r="F15" s="63">
        <f>SUM(F10:F14)/5</f>
        <v>0.43393232902609913</v>
      </c>
      <c r="G15" s="64"/>
    </row>
    <row r="16" spans="1:9" ht="13.2">
      <c r="B16" s="43"/>
      <c r="C16" s="43"/>
      <c r="D16" s="77"/>
      <c r="E16" s="77"/>
      <c r="F16" s="43"/>
      <c r="G16" s="43"/>
    </row>
    <row r="17" spans="1:7" ht="13.2">
      <c r="A17" s="4" t="s">
        <v>99</v>
      </c>
      <c r="B17" s="43"/>
      <c r="C17" s="43"/>
      <c r="D17" s="76"/>
      <c r="E17" s="74"/>
      <c r="F17" s="39"/>
      <c r="G17" s="43"/>
    </row>
    <row r="18" spans="1:7" ht="13.2">
      <c r="B18" s="43"/>
      <c r="C18" s="43"/>
      <c r="D18" s="76"/>
      <c r="E18" s="74"/>
      <c r="F18" s="39"/>
      <c r="G18" s="43"/>
    </row>
    <row r="19" spans="1:7" ht="13.2">
      <c r="B19" s="43"/>
      <c r="C19" s="43"/>
      <c r="D19" s="76"/>
      <c r="E19" s="74"/>
      <c r="F19" s="39"/>
      <c r="G19" s="43"/>
    </row>
    <row r="20" spans="1:7" ht="13.2">
      <c r="B20" s="43"/>
      <c r="C20" s="43"/>
      <c r="D20" s="76"/>
      <c r="E20" s="76"/>
      <c r="F20" s="43"/>
      <c r="G20" s="43"/>
    </row>
    <row r="21" spans="1:7" ht="13.2">
      <c r="B21" s="43"/>
      <c r="C21" s="43"/>
      <c r="D21" s="76"/>
      <c r="E21" s="76"/>
      <c r="F21" s="43"/>
      <c r="G21" s="43"/>
    </row>
    <row r="22" spans="1:7" ht="13.2">
      <c r="B22" s="43"/>
      <c r="C22" s="43"/>
      <c r="D22" s="76"/>
      <c r="E22" s="76"/>
      <c r="F22" s="43"/>
      <c r="G22" s="43"/>
    </row>
    <row r="23" spans="1:7" ht="13.2">
      <c r="B23" s="43"/>
      <c r="C23" s="43"/>
      <c r="D23" s="76"/>
      <c r="E23" s="76"/>
      <c r="F23" s="43"/>
      <c r="G23" s="43"/>
    </row>
    <row r="24" spans="1:7" ht="13.2">
      <c r="B24" s="43"/>
      <c r="C24" s="43"/>
      <c r="D24" s="76"/>
      <c r="E24" s="76"/>
      <c r="F24" s="43"/>
      <c r="G24" s="43"/>
    </row>
    <row r="25" spans="1:7" ht="13.2">
      <c r="B25" s="43"/>
      <c r="C25" s="43"/>
      <c r="D25" s="76"/>
      <c r="E25" s="76"/>
      <c r="F25" s="43"/>
      <c r="G25" s="43"/>
    </row>
    <row r="26" spans="1:7" ht="13.2">
      <c r="B26" s="43"/>
      <c r="C26" s="43"/>
      <c r="D26" s="76"/>
      <c r="E26" s="76"/>
      <c r="F26" s="43"/>
      <c r="G26" s="43"/>
    </row>
    <row r="27" spans="1:7" ht="13.2">
      <c r="B27" s="43"/>
      <c r="C27" s="43"/>
      <c r="D27" s="76"/>
      <c r="E27" s="76"/>
      <c r="F27" s="43"/>
      <c r="G27" s="43"/>
    </row>
    <row r="28" spans="1:7" ht="13.2">
      <c r="B28" s="43"/>
      <c r="C28" s="43"/>
      <c r="D28" s="76"/>
      <c r="E28" s="76"/>
      <c r="F28" s="43"/>
      <c r="G28" s="43"/>
    </row>
    <row r="29" spans="1:7" ht="13.2">
      <c r="B29" s="43"/>
      <c r="C29" s="43"/>
      <c r="D29" s="76"/>
      <c r="E29" s="76"/>
      <c r="F29" s="43"/>
      <c r="G29" s="43"/>
    </row>
    <row r="30" spans="1:7" ht="13.2">
      <c r="B30" s="43"/>
      <c r="C30" s="43"/>
      <c r="D30" s="76"/>
      <c r="E30" s="76"/>
      <c r="F30" s="43"/>
      <c r="G30" s="43"/>
    </row>
    <row r="31" spans="1:7" ht="13.2">
      <c r="B31" s="43"/>
      <c r="C31" s="43"/>
      <c r="D31" s="76"/>
      <c r="E31" s="76"/>
      <c r="F31" s="43"/>
      <c r="G31" s="43"/>
    </row>
    <row r="32" spans="1:7" ht="13.2">
      <c r="B32" s="43"/>
      <c r="C32" s="43"/>
      <c r="D32" s="76"/>
      <c r="E32" s="76"/>
      <c r="F32" s="43"/>
      <c r="G32" s="43"/>
    </row>
    <row r="33" spans="2:7" ht="13.2">
      <c r="B33" s="43"/>
      <c r="C33" s="43"/>
      <c r="D33" s="76"/>
      <c r="E33" s="76"/>
      <c r="F33" s="43"/>
      <c r="G33" s="43"/>
    </row>
    <row r="34" spans="2:7" ht="13.2">
      <c r="B34" s="43"/>
      <c r="C34" s="43"/>
      <c r="D34" s="76"/>
      <c r="E34" s="76"/>
      <c r="F34" s="43"/>
      <c r="G34" s="43"/>
    </row>
    <row r="35" spans="2:7" ht="13.2">
      <c r="B35" s="43"/>
      <c r="C35" s="43"/>
      <c r="D35" s="76"/>
      <c r="E35" s="76"/>
      <c r="F35" s="43"/>
      <c r="G35" s="43"/>
    </row>
    <row r="36" spans="2:7" ht="13.2">
      <c r="B36" s="43"/>
      <c r="C36" s="43"/>
      <c r="D36" s="76"/>
      <c r="E36" s="76"/>
      <c r="F36" s="43"/>
      <c r="G36" s="43"/>
    </row>
    <row r="37" spans="2:7" ht="13.2">
      <c r="B37" s="43"/>
      <c r="C37" s="43"/>
      <c r="D37" s="76"/>
      <c r="E37" s="76"/>
      <c r="F37" s="43"/>
      <c r="G37" s="43"/>
    </row>
    <row r="38" spans="2:7" ht="13.2">
      <c r="B38" s="43"/>
      <c r="C38" s="43"/>
      <c r="D38" s="76"/>
      <c r="E38" s="76"/>
      <c r="F38" s="43"/>
      <c r="G38" s="43"/>
    </row>
    <row r="39" spans="2:7" ht="13.2">
      <c r="B39" s="43"/>
      <c r="C39" s="43"/>
      <c r="D39" s="76"/>
      <c r="E39" s="76"/>
      <c r="F39" s="43"/>
      <c r="G39" s="43"/>
    </row>
    <row r="40" spans="2:7" ht="13.2">
      <c r="B40" s="43"/>
      <c r="C40" s="43"/>
      <c r="D40" s="76"/>
      <c r="E40" s="76"/>
      <c r="F40" s="43"/>
      <c r="G40" s="43"/>
    </row>
    <row r="41" spans="2:7" ht="13.2">
      <c r="B41" s="43"/>
      <c r="C41" s="43"/>
      <c r="D41" s="76"/>
      <c r="E41" s="76"/>
      <c r="F41" s="43"/>
      <c r="G41" s="43"/>
    </row>
    <row r="42" spans="2:7" ht="13.2">
      <c r="B42" s="43"/>
      <c r="C42" s="43"/>
      <c r="D42" s="76"/>
      <c r="E42" s="76"/>
      <c r="F42" s="43"/>
      <c r="G42" s="43"/>
    </row>
    <row r="43" spans="2:7" ht="13.2">
      <c r="B43" s="43"/>
      <c r="C43" s="43"/>
      <c r="D43" s="76"/>
      <c r="E43" s="76"/>
      <c r="F43" s="43"/>
      <c r="G43" s="43"/>
    </row>
    <row r="44" spans="2:7" ht="13.2">
      <c r="B44" s="43"/>
      <c r="C44" s="43"/>
      <c r="D44" s="76"/>
      <c r="E44" s="76"/>
      <c r="F44" s="43"/>
      <c r="G44" s="43"/>
    </row>
    <row r="45" spans="2:7" ht="13.2">
      <c r="B45" s="43"/>
      <c r="C45" s="43"/>
      <c r="D45" s="76"/>
      <c r="E45" s="76"/>
      <c r="F45" s="43"/>
      <c r="G45" s="43"/>
    </row>
    <row r="46" spans="2:7" ht="13.2">
      <c r="B46" s="43"/>
      <c r="C46" s="43"/>
      <c r="D46" s="76"/>
      <c r="E46" s="76"/>
      <c r="F46" s="43"/>
      <c r="G46" s="43"/>
    </row>
    <row r="47" spans="2:7" ht="13.2">
      <c r="B47" s="43"/>
      <c r="C47" s="43"/>
      <c r="D47" s="76"/>
      <c r="E47" s="76"/>
      <c r="F47" s="43"/>
      <c r="G47" s="43"/>
    </row>
    <row r="48" spans="2:7" ht="13.2">
      <c r="B48" s="43"/>
      <c r="C48" s="43"/>
      <c r="D48" s="76"/>
      <c r="E48" s="76"/>
      <c r="F48" s="43"/>
      <c r="G48" s="43"/>
    </row>
    <row r="49" spans="2:7" ht="13.2">
      <c r="B49" s="43"/>
      <c r="C49" s="43"/>
      <c r="D49" s="76"/>
      <c r="E49" s="76"/>
      <c r="F49" s="43"/>
      <c r="G49" s="43"/>
    </row>
    <row r="50" spans="2:7" ht="13.2">
      <c r="B50" s="43"/>
      <c r="C50" s="43"/>
      <c r="D50" s="76"/>
      <c r="E50" s="76"/>
      <c r="F50" s="43"/>
      <c r="G50" s="43"/>
    </row>
    <row r="51" spans="2:7" ht="13.2">
      <c r="B51" s="43"/>
      <c r="C51" s="43"/>
      <c r="D51" s="76"/>
      <c r="E51" s="76"/>
      <c r="F51" s="43"/>
      <c r="G51" s="43"/>
    </row>
    <row r="52" spans="2:7" ht="13.2">
      <c r="B52" s="43"/>
      <c r="C52" s="43"/>
      <c r="D52" s="76"/>
      <c r="E52" s="76"/>
      <c r="F52" s="43"/>
      <c r="G52" s="43"/>
    </row>
    <row r="53" spans="2:7" ht="13.2">
      <c r="B53" s="43"/>
      <c r="C53" s="43"/>
      <c r="D53" s="76"/>
      <c r="E53" s="76"/>
      <c r="F53" s="43"/>
      <c r="G53" s="43"/>
    </row>
    <row r="54" spans="2:7" ht="13.2">
      <c r="B54" s="43"/>
      <c r="C54" s="43"/>
      <c r="D54" s="76"/>
      <c r="E54" s="76"/>
      <c r="F54" s="43"/>
      <c r="G54" s="43"/>
    </row>
    <row r="55" spans="2:7" ht="13.2">
      <c r="B55" s="43"/>
      <c r="C55" s="43"/>
      <c r="D55" s="76"/>
      <c r="E55" s="76"/>
      <c r="F55" s="43"/>
      <c r="G55" s="43"/>
    </row>
    <row r="56" spans="2:7" ht="13.2">
      <c r="B56" s="43"/>
      <c r="C56" s="43"/>
      <c r="D56" s="76"/>
      <c r="E56" s="76"/>
      <c r="F56" s="43"/>
      <c r="G56" s="43"/>
    </row>
    <row r="57" spans="2:7" ht="13.2">
      <c r="B57" s="43"/>
      <c r="C57" s="43"/>
      <c r="D57" s="76"/>
      <c r="E57" s="76"/>
      <c r="F57" s="43"/>
      <c r="G57" s="43"/>
    </row>
    <row r="58" spans="2:7" ht="13.2">
      <c r="B58" s="43"/>
      <c r="C58" s="43"/>
      <c r="D58" s="76"/>
      <c r="E58" s="76"/>
      <c r="F58" s="43"/>
      <c r="G58" s="43"/>
    </row>
    <row r="59" spans="2:7" ht="13.2">
      <c r="B59" s="43"/>
      <c r="C59" s="43"/>
      <c r="D59" s="76"/>
      <c r="E59" s="76"/>
      <c r="F59" s="43"/>
      <c r="G59" s="43"/>
    </row>
    <row r="60" spans="2:7" ht="13.2">
      <c r="B60" s="43"/>
      <c r="C60" s="43"/>
      <c r="D60" s="76"/>
      <c r="E60" s="76"/>
      <c r="F60" s="43"/>
      <c r="G60" s="43"/>
    </row>
    <row r="61" spans="2:7" ht="13.2">
      <c r="B61" s="43"/>
      <c r="C61" s="43"/>
      <c r="D61" s="76"/>
      <c r="E61" s="76"/>
      <c r="F61" s="43"/>
      <c r="G61" s="43"/>
    </row>
    <row r="62" spans="2:7" ht="13.2">
      <c r="B62" s="43"/>
      <c r="C62" s="43"/>
      <c r="D62" s="76"/>
      <c r="E62" s="76"/>
      <c r="F62" s="43"/>
      <c r="G62" s="43"/>
    </row>
    <row r="63" spans="2:7" ht="13.2">
      <c r="B63" s="43"/>
      <c r="C63" s="43"/>
      <c r="D63" s="76"/>
      <c r="E63" s="76"/>
      <c r="F63" s="43"/>
      <c r="G63" s="43"/>
    </row>
    <row r="64" spans="2:7" ht="13.2">
      <c r="B64" s="43"/>
      <c r="C64" s="43"/>
      <c r="D64" s="76"/>
      <c r="E64" s="76"/>
      <c r="F64" s="43"/>
      <c r="G64" s="43"/>
    </row>
    <row r="65" spans="2:7" ht="13.2">
      <c r="B65" s="43"/>
      <c r="C65" s="43"/>
      <c r="D65" s="76"/>
      <c r="E65" s="76"/>
      <c r="F65" s="43"/>
      <c r="G65" s="43"/>
    </row>
    <row r="66" spans="2:7" ht="13.2">
      <c r="B66" s="43"/>
      <c r="C66" s="43"/>
      <c r="D66" s="76"/>
      <c r="E66" s="76"/>
      <c r="F66" s="43"/>
      <c r="G66" s="43"/>
    </row>
    <row r="67" spans="2:7" ht="13.2">
      <c r="B67" s="43"/>
      <c r="C67" s="43"/>
      <c r="D67" s="76"/>
      <c r="E67" s="76"/>
      <c r="F67" s="43"/>
      <c r="G67" s="43"/>
    </row>
    <row r="68" spans="2:7" ht="13.2">
      <c r="B68" s="43"/>
      <c r="C68" s="43"/>
      <c r="D68" s="76"/>
      <c r="E68" s="76"/>
      <c r="F68" s="43"/>
      <c r="G68" s="43"/>
    </row>
    <row r="69" spans="2:7" ht="13.2">
      <c r="B69" s="43"/>
      <c r="C69" s="43"/>
      <c r="D69" s="76"/>
      <c r="E69" s="76"/>
      <c r="F69" s="43"/>
      <c r="G69" s="43"/>
    </row>
    <row r="70" spans="2:7" ht="13.2">
      <c r="B70" s="43"/>
      <c r="C70" s="43"/>
      <c r="D70" s="76"/>
      <c r="E70" s="76"/>
      <c r="F70" s="43"/>
      <c r="G70" s="43"/>
    </row>
    <row r="71" spans="2:7" ht="13.2">
      <c r="B71" s="43"/>
      <c r="C71" s="43"/>
      <c r="D71" s="76"/>
      <c r="E71" s="76"/>
      <c r="F71" s="43"/>
      <c r="G71" s="43"/>
    </row>
    <row r="72" spans="2:7" ht="13.2">
      <c r="B72" s="43"/>
      <c r="C72" s="43"/>
      <c r="D72" s="76"/>
      <c r="E72" s="76"/>
      <c r="F72" s="43"/>
      <c r="G72" s="43"/>
    </row>
    <row r="73" spans="2:7" ht="13.2">
      <c r="B73" s="43"/>
      <c r="C73" s="43"/>
      <c r="D73" s="76"/>
      <c r="E73" s="76"/>
      <c r="F73" s="43"/>
      <c r="G73" s="43"/>
    </row>
    <row r="74" spans="2:7" ht="13.2">
      <c r="B74" s="43"/>
      <c r="C74" s="43"/>
      <c r="D74" s="76"/>
      <c r="E74" s="76"/>
      <c r="F74" s="43"/>
      <c r="G74" s="43"/>
    </row>
    <row r="75" spans="2:7" ht="13.2">
      <c r="B75" s="43"/>
      <c r="C75" s="43"/>
      <c r="D75" s="76"/>
      <c r="E75" s="76"/>
      <c r="F75" s="43"/>
      <c r="G75" s="43"/>
    </row>
    <row r="76" spans="2:7" ht="13.2">
      <c r="B76" s="43"/>
      <c r="C76" s="43"/>
      <c r="D76" s="76"/>
      <c r="E76" s="76"/>
      <c r="F76" s="43"/>
      <c r="G76" s="43"/>
    </row>
    <row r="77" spans="2:7" ht="13.2">
      <c r="B77" s="43"/>
      <c r="C77" s="43"/>
      <c r="D77" s="76"/>
      <c r="E77" s="76"/>
      <c r="F77" s="43"/>
      <c r="G77" s="43"/>
    </row>
    <row r="78" spans="2:7" ht="13.2">
      <c r="B78" s="43"/>
      <c r="C78" s="43"/>
      <c r="D78" s="76"/>
      <c r="E78" s="76"/>
      <c r="F78" s="43"/>
      <c r="G78" s="43"/>
    </row>
    <row r="79" spans="2:7" ht="13.2">
      <c r="B79" s="43"/>
      <c r="C79" s="43"/>
      <c r="D79" s="76"/>
      <c r="E79" s="76"/>
      <c r="F79" s="43"/>
      <c r="G79" s="43"/>
    </row>
    <row r="80" spans="2:7" ht="13.2">
      <c r="B80" s="43"/>
      <c r="C80" s="43"/>
      <c r="D80" s="76"/>
      <c r="E80" s="76"/>
      <c r="F80" s="43"/>
      <c r="G80" s="43"/>
    </row>
    <row r="81" spans="2:7" ht="13.2">
      <c r="B81" s="43"/>
      <c r="C81" s="43"/>
      <c r="D81" s="76"/>
      <c r="E81" s="76"/>
      <c r="F81" s="43"/>
      <c r="G81" s="43"/>
    </row>
    <row r="82" spans="2:7" ht="13.2">
      <c r="B82" s="43"/>
      <c r="C82" s="43"/>
      <c r="D82" s="76"/>
      <c r="E82" s="76"/>
      <c r="F82" s="43"/>
      <c r="G82" s="43"/>
    </row>
    <row r="83" spans="2:7" ht="13.2">
      <c r="B83" s="43"/>
      <c r="C83" s="43"/>
      <c r="D83" s="76"/>
      <c r="E83" s="76"/>
      <c r="F83" s="43"/>
      <c r="G83" s="43"/>
    </row>
    <row r="84" spans="2:7" ht="13.2">
      <c r="B84" s="43"/>
      <c r="C84" s="43"/>
      <c r="D84" s="76"/>
      <c r="E84" s="76"/>
      <c r="F84" s="43"/>
      <c r="G84" s="43"/>
    </row>
    <row r="85" spans="2:7" ht="13.2">
      <c r="B85" s="43"/>
      <c r="C85" s="43"/>
      <c r="D85" s="76"/>
      <c r="E85" s="76"/>
      <c r="F85" s="43"/>
      <c r="G85" s="43"/>
    </row>
    <row r="86" spans="2:7" ht="13.2">
      <c r="B86" s="43"/>
      <c r="C86" s="43"/>
      <c r="D86" s="76"/>
      <c r="E86" s="76"/>
      <c r="F86" s="43"/>
      <c r="G86" s="43"/>
    </row>
    <row r="87" spans="2:7" ht="13.2">
      <c r="B87" s="43"/>
      <c r="C87" s="43"/>
      <c r="D87" s="76"/>
      <c r="E87" s="76"/>
      <c r="F87" s="43"/>
      <c r="G87" s="43"/>
    </row>
    <row r="88" spans="2:7" ht="13.2">
      <c r="B88" s="43"/>
      <c r="C88" s="43"/>
      <c r="D88" s="76"/>
      <c r="E88" s="76"/>
      <c r="F88" s="43"/>
      <c r="G88" s="43"/>
    </row>
    <row r="89" spans="2:7" ht="13.2">
      <c r="B89" s="43"/>
      <c r="C89" s="43"/>
      <c r="D89" s="76"/>
      <c r="E89" s="76"/>
      <c r="F89" s="43"/>
      <c r="G89" s="43"/>
    </row>
    <row r="90" spans="2:7" ht="13.2">
      <c r="B90" s="43"/>
      <c r="C90" s="43"/>
      <c r="D90" s="76"/>
      <c r="E90" s="76"/>
      <c r="F90" s="43"/>
      <c r="G90" s="43"/>
    </row>
    <row r="91" spans="2:7" ht="13.2">
      <c r="B91" s="43"/>
      <c r="C91" s="43"/>
      <c r="D91" s="76"/>
      <c r="E91" s="76"/>
      <c r="F91" s="43"/>
      <c r="G91" s="43"/>
    </row>
    <row r="92" spans="2:7" ht="13.2">
      <c r="B92" s="43"/>
      <c r="C92" s="43"/>
      <c r="D92" s="76"/>
      <c r="E92" s="76"/>
      <c r="F92" s="43"/>
      <c r="G92" s="43"/>
    </row>
    <row r="93" spans="2:7" ht="13.2">
      <c r="B93" s="43"/>
      <c r="C93" s="43"/>
      <c r="D93" s="76"/>
      <c r="E93" s="76"/>
      <c r="F93" s="43"/>
      <c r="G93" s="43"/>
    </row>
    <row r="94" spans="2:7" ht="13.2">
      <c r="B94" s="43"/>
      <c r="C94" s="43"/>
      <c r="D94" s="76"/>
      <c r="E94" s="76"/>
      <c r="F94" s="43"/>
      <c r="G94" s="43"/>
    </row>
    <row r="95" spans="2:7" ht="13.2">
      <c r="B95" s="43"/>
      <c r="C95" s="43"/>
      <c r="D95" s="76"/>
      <c r="E95" s="76"/>
      <c r="F95" s="43"/>
      <c r="G95" s="43"/>
    </row>
    <row r="96" spans="2:7" ht="13.2">
      <c r="B96" s="43"/>
      <c r="C96" s="43"/>
      <c r="D96" s="76"/>
      <c r="E96" s="76"/>
      <c r="F96" s="43"/>
      <c r="G96" s="43"/>
    </row>
    <row r="97" spans="2:7" ht="13.2">
      <c r="B97" s="43"/>
      <c r="C97" s="43"/>
      <c r="D97" s="76"/>
      <c r="E97" s="76"/>
      <c r="F97" s="43"/>
      <c r="G97" s="43"/>
    </row>
    <row r="98" spans="2:7" ht="13.2">
      <c r="B98" s="43"/>
      <c r="C98" s="43"/>
      <c r="D98" s="76"/>
      <c r="E98" s="76"/>
      <c r="F98" s="43"/>
      <c r="G98" s="43"/>
    </row>
    <row r="99" spans="2:7" ht="13.2">
      <c r="B99" s="43"/>
      <c r="C99" s="43"/>
      <c r="D99" s="76"/>
      <c r="E99" s="76"/>
      <c r="F99" s="43"/>
      <c r="G99" s="43"/>
    </row>
    <row r="100" spans="2:7" ht="13.2">
      <c r="B100" s="43"/>
      <c r="C100" s="43"/>
      <c r="D100" s="76"/>
      <c r="E100" s="76"/>
      <c r="F100" s="43"/>
      <c r="G100" s="43"/>
    </row>
    <row r="101" spans="2:7" ht="13.2">
      <c r="B101" s="43"/>
      <c r="C101" s="43"/>
      <c r="D101" s="76"/>
      <c r="E101" s="76"/>
      <c r="F101" s="43"/>
      <c r="G101" s="43"/>
    </row>
    <row r="102" spans="2:7" ht="13.2">
      <c r="B102" s="43"/>
      <c r="C102" s="43"/>
      <c r="D102" s="76"/>
      <c r="E102" s="76"/>
      <c r="F102" s="43"/>
      <c r="G102" s="43"/>
    </row>
    <row r="103" spans="2:7" ht="13.2">
      <c r="B103" s="43"/>
      <c r="C103" s="43"/>
      <c r="D103" s="76"/>
      <c r="E103" s="76"/>
      <c r="F103" s="43"/>
      <c r="G103" s="43"/>
    </row>
    <row r="104" spans="2:7" ht="13.2">
      <c r="B104" s="43"/>
      <c r="C104" s="43"/>
      <c r="D104" s="76"/>
      <c r="E104" s="76"/>
      <c r="F104" s="43"/>
      <c r="G104" s="43"/>
    </row>
    <row r="105" spans="2:7" ht="13.2">
      <c r="B105" s="43"/>
      <c r="C105" s="43"/>
      <c r="D105" s="76"/>
      <c r="E105" s="76"/>
      <c r="F105" s="43"/>
      <c r="G105" s="43"/>
    </row>
    <row r="106" spans="2:7" ht="13.2">
      <c r="B106" s="43"/>
      <c r="C106" s="43"/>
      <c r="D106" s="76"/>
      <c r="E106" s="76"/>
      <c r="F106" s="43"/>
      <c r="G106" s="43"/>
    </row>
    <row r="107" spans="2:7" ht="13.2">
      <c r="B107" s="43"/>
      <c r="C107" s="43"/>
      <c r="D107" s="76"/>
      <c r="E107" s="76"/>
      <c r="F107" s="43"/>
      <c r="G107" s="43"/>
    </row>
    <row r="108" spans="2:7" ht="13.2">
      <c r="B108" s="43"/>
      <c r="C108" s="43"/>
      <c r="D108" s="76"/>
      <c r="E108" s="76"/>
      <c r="F108" s="43"/>
      <c r="G108" s="43"/>
    </row>
    <row r="109" spans="2:7" ht="13.2">
      <c r="B109" s="43"/>
      <c r="C109" s="43"/>
      <c r="D109" s="76"/>
      <c r="E109" s="76"/>
      <c r="F109" s="43"/>
      <c r="G109" s="43"/>
    </row>
    <row r="110" spans="2:7" ht="13.2">
      <c r="B110" s="43"/>
      <c r="C110" s="43"/>
      <c r="D110" s="76"/>
      <c r="E110" s="76"/>
      <c r="F110" s="43"/>
      <c r="G110" s="43"/>
    </row>
    <row r="111" spans="2:7" ht="13.2">
      <c r="B111" s="43"/>
      <c r="C111" s="43"/>
      <c r="D111" s="76"/>
      <c r="E111" s="76"/>
      <c r="F111" s="43"/>
      <c r="G111" s="43"/>
    </row>
    <row r="112" spans="2:7" ht="13.2">
      <c r="B112" s="43"/>
      <c r="C112" s="43"/>
      <c r="D112" s="76"/>
      <c r="E112" s="76"/>
      <c r="F112" s="43"/>
      <c r="G112" s="43"/>
    </row>
    <row r="113" spans="2:7" ht="13.2">
      <c r="B113" s="43"/>
      <c r="C113" s="43"/>
      <c r="D113" s="76"/>
      <c r="E113" s="76"/>
      <c r="F113" s="43"/>
      <c r="G113" s="43"/>
    </row>
    <row r="114" spans="2:7" ht="13.2">
      <c r="B114" s="43"/>
      <c r="C114" s="43"/>
      <c r="D114" s="76"/>
      <c r="E114" s="76"/>
      <c r="F114" s="43"/>
      <c r="G114" s="43"/>
    </row>
    <row r="115" spans="2:7" ht="13.2">
      <c r="B115" s="43"/>
      <c r="C115" s="43"/>
      <c r="D115" s="76"/>
      <c r="E115" s="76"/>
      <c r="F115" s="43"/>
      <c r="G115" s="43"/>
    </row>
    <row r="116" spans="2:7" ht="13.2">
      <c r="B116" s="43"/>
      <c r="C116" s="43"/>
      <c r="D116" s="76"/>
      <c r="E116" s="76"/>
      <c r="F116" s="43"/>
      <c r="G116" s="43"/>
    </row>
    <row r="117" spans="2:7" ht="13.2">
      <c r="B117" s="43"/>
      <c r="C117" s="43"/>
      <c r="D117" s="76"/>
      <c r="E117" s="76"/>
      <c r="F117" s="43"/>
      <c r="G117" s="43"/>
    </row>
    <row r="118" spans="2:7" ht="13.2">
      <c r="B118" s="43"/>
      <c r="C118" s="43"/>
      <c r="D118" s="76"/>
      <c r="E118" s="76"/>
      <c r="F118" s="43"/>
      <c r="G118" s="43"/>
    </row>
    <row r="119" spans="2:7" ht="13.2">
      <c r="B119" s="43"/>
      <c r="C119" s="43"/>
      <c r="D119" s="76"/>
      <c r="E119" s="76"/>
      <c r="F119" s="43"/>
      <c r="G119" s="43"/>
    </row>
    <row r="120" spans="2:7" ht="13.2">
      <c r="B120" s="43"/>
      <c r="C120" s="43"/>
      <c r="D120" s="76"/>
      <c r="E120" s="76"/>
      <c r="F120" s="43"/>
      <c r="G120" s="43"/>
    </row>
    <row r="121" spans="2:7" ht="13.2">
      <c r="B121" s="43"/>
      <c r="C121" s="43"/>
      <c r="D121" s="76"/>
      <c r="E121" s="76"/>
      <c r="F121" s="43"/>
      <c r="G121" s="43"/>
    </row>
    <row r="122" spans="2:7" ht="13.2">
      <c r="B122" s="43"/>
      <c r="C122" s="43"/>
      <c r="D122" s="76"/>
      <c r="E122" s="76"/>
      <c r="F122" s="43"/>
      <c r="G122" s="43"/>
    </row>
    <row r="123" spans="2:7" ht="13.2">
      <c r="B123" s="43"/>
      <c r="C123" s="43"/>
      <c r="D123" s="76"/>
      <c r="E123" s="76"/>
      <c r="F123" s="43"/>
      <c r="G123" s="43"/>
    </row>
    <row r="124" spans="2:7" ht="13.2">
      <c r="B124" s="43"/>
      <c r="C124" s="43"/>
      <c r="D124" s="76"/>
      <c r="E124" s="76"/>
      <c r="F124" s="43"/>
      <c r="G124" s="43"/>
    </row>
    <row r="125" spans="2:7" ht="13.2">
      <c r="B125" s="43"/>
      <c r="C125" s="43"/>
      <c r="D125" s="76"/>
      <c r="E125" s="76"/>
      <c r="F125" s="43"/>
      <c r="G125" s="43"/>
    </row>
    <row r="126" spans="2:7" ht="13.2">
      <c r="B126" s="43"/>
      <c r="C126" s="43"/>
      <c r="D126" s="76"/>
      <c r="E126" s="76"/>
      <c r="F126" s="43"/>
      <c r="G126" s="43"/>
    </row>
    <row r="127" spans="2:7" ht="13.2">
      <c r="B127" s="43"/>
      <c r="C127" s="43"/>
      <c r="D127" s="76"/>
      <c r="E127" s="76"/>
      <c r="F127" s="43"/>
      <c r="G127" s="43"/>
    </row>
    <row r="128" spans="2:7" ht="13.2">
      <c r="B128" s="43"/>
      <c r="C128" s="43"/>
      <c r="D128" s="76"/>
      <c r="E128" s="76"/>
      <c r="F128" s="43"/>
      <c r="G128" s="43"/>
    </row>
    <row r="129" spans="2:7" ht="13.2">
      <c r="B129" s="43"/>
      <c r="C129" s="43"/>
      <c r="D129" s="76"/>
      <c r="E129" s="76"/>
      <c r="F129" s="43"/>
      <c r="G129" s="43"/>
    </row>
    <row r="130" spans="2:7" ht="13.2">
      <c r="B130" s="43"/>
      <c r="C130" s="43"/>
      <c r="D130" s="76"/>
      <c r="E130" s="76"/>
      <c r="F130" s="43"/>
      <c r="G130" s="43"/>
    </row>
    <row r="131" spans="2:7" ht="13.2">
      <c r="B131" s="43"/>
      <c r="C131" s="43"/>
      <c r="D131" s="76"/>
      <c r="E131" s="76"/>
      <c r="F131" s="43"/>
      <c r="G131" s="43"/>
    </row>
    <row r="132" spans="2:7" ht="13.2">
      <c r="B132" s="43"/>
      <c r="C132" s="43"/>
      <c r="D132" s="76"/>
      <c r="E132" s="76"/>
      <c r="F132" s="43"/>
      <c r="G132" s="43"/>
    </row>
    <row r="133" spans="2:7" ht="13.2">
      <c r="B133" s="43"/>
      <c r="C133" s="43"/>
      <c r="D133" s="76"/>
      <c r="E133" s="76"/>
      <c r="F133" s="43"/>
      <c r="G133" s="43"/>
    </row>
    <row r="134" spans="2:7" ht="13.2">
      <c r="B134" s="43"/>
      <c r="C134" s="43"/>
      <c r="D134" s="76"/>
      <c r="E134" s="76"/>
      <c r="F134" s="43"/>
      <c r="G134" s="43"/>
    </row>
    <row r="135" spans="2:7" ht="13.2">
      <c r="B135" s="43"/>
      <c r="C135" s="43"/>
      <c r="D135" s="76"/>
      <c r="E135" s="76"/>
      <c r="F135" s="43"/>
      <c r="G135" s="43"/>
    </row>
    <row r="136" spans="2:7" ht="13.2">
      <c r="B136" s="43"/>
      <c r="C136" s="43"/>
      <c r="D136" s="76"/>
      <c r="E136" s="76"/>
      <c r="F136" s="43"/>
      <c r="G136" s="43"/>
    </row>
    <row r="137" spans="2:7" ht="13.2">
      <c r="B137" s="43"/>
      <c r="C137" s="43"/>
      <c r="D137" s="76"/>
      <c r="E137" s="76"/>
      <c r="F137" s="43"/>
      <c r="G137" s="43"/>
    </row>
    <row r="138" spans="2:7" ht="13.2">
      <c r="B138" s="43"/>
      <c r="C138" s="43"/>
      <c r="D138" s="76"/>
      <c r="E138" s="76"/>
      <c r="F138" s="43"/>
      <c r="G138" s="43"/>
    </row>
    <row r="139" spans="2:7" ht="13.2">
      <c r="B139" s="43"/>
      <c r="C139" s="43"/>
      <c r="D139" s="76"/>
      <c r="E139" s="76"/>
      <c r="F139" s="43"/>
      <c r="G139" s="43"/>
    </row>
    <row r="140" spans="2:7" ht="13.2">
      <c r="B140" s="43"/>
      <c r="C140" s="43"/>
      <c r="D140" s="76"/>
      <c r="E140" s="76"/>
      <c r="F140" s="43"/>
      <c r="G140" s="43"/>
    </row>
    <row r="141" spans="2:7" ht="13.2">
      <c r="B141" s="43"/>
      <c r="C141" s="43"/>
      <c r="D141" s="76"/>
      <c r="E141" s="76"/>
      <c r="F141" s="43"/>
      <c r="G141" s="43"/>
    </row>
    <row r="142" spans="2:7" ht="13.2">
      <c r="B142" s="43"/>
      <c r="C142" s="43"/>
      <c r="D142" s="76"/>
      <c r="E142" s="76"/>
      <c r="F142" s="43"/>
      <c r="G142" s="43"/>
    </row>
    <row r="143" spans="2:7" ht="13.2">
      <c r="B143" s="43"/>
      <c r="C143" s="43"/>
      <c r="D143" s="76"/>
      <c r="E143" s="76"/>
      <c r="F143" s="43"/>
      <c r="G143" s="43"/>
    </row>
    <row r="144" spans="2:7" ht="13.2">
      <c r="B144" s="43"/>
      <c r="C144" s="43"/>
      <c r="D144" s="76"/>
      <c r="E144" s="76"/>
      <c r="F144" s="43"/>
      <c r="G144" s="43"/>
    </row>
    <row r="145" spans="2:7" ht="13.2">
      <c r="B145" s="43"/>
      <c r="C145" s="43"/>
      <c r="D145" s="76"/>
      <c r="E145" s="76"/>
      <c r="F145" s="43"/>
      <c r="G145" s="43"/>
    </row>
    <row r="146" spans="2:7" ht="13.2">
      <c r="B146" s="43"/>
      <c r="C146" s="43"/>
      <c r="D146" s="76"/>
      <c r="E146" s="76"/>
      <c r="F146" s="43"/>
      <c r="G146" s="43"/>
    </row>
    <row r="147" spans="2:7" ht="13.2">
      <c r="B147" s="43"/>
      <c r="C147" s="43"/>
      <c r="D147" s="76"/>
      <c r="E147" s="76"/>
      <c r="F147" s="43"/>
      <c r="G147" s="43"/>
    </row>
    <row r="148" spans="2:7" ht="13.2">
      <c r="B148" s="43"/>
      <c r="C148" s="43"/>
      <c r="D148" s="76"/>
      <c r="E148" s="76"/>
      <c r="F148" s="43"/>
      <c r="G148" s="43"/>
    </row>
    <row r="149" spans="2:7" ht="13.2">
      <c r="B149" s="43"/>
      <c r="C149" s="43"/>
      <c r="D149" s="76"/>
      <c r="E149" s="76"/>
      <c r="F149" s="43"/>
      <c r="G149" s="43"/>
    </row>
    <row r="150" spans="2:7" ht="13.2">
      <c r="B150" s="43"/>
      <c r="C150" s="43"/>
      <c r="D150" s="76"/>
      <c r="E150" s="76"/>
      <c r="F150" s="43"/>
      <c r="G150" s="43"/>
    </row>
    <row r="151" spans="2:7" ht="13.2">
      <c r="B151" s="43"/>
      <c r="C151" s="43"/>
      <c r="D151" s="76"/>
      <c r="E151" s="76"/>
      <c r="F151" s="43"/>
      <c r="G151" s="43"/>
    </row>
    <row r="152" spans="2:7" ht="13.2">
      <c r="B152" s="43"/>
      <c r="C152" s="43"/>
      <c r="D152" s="76"/>
      <c r="E152" s="76"/>
      <c r="F152" s="43"/>
      <c r="G152" s="43"/>
    </row>
    <row r="153" spans="2:7" ht="13.2">
      <c r="B153" s="43"/>
      <c r="C153" s="43"/>
      <c r="D153" s="76"/>
      <c r="E153" s="76"/>
      <c r="F153" s="43"/>
      <c r="G153" s="43"/>
    </row>
    <row r="154" spans="2:7" ht="13.2">
      <c r="B154" s="43"/>
      <c r="C154" s="43"/>
      <c r="D154" s="76"/>
      <c r="E154" s="76"/>
      <c r="F154" s="43"/>
      <c r="G154" s="43"/>
    </row>
    <row r="155" spans="2:7" ht="13.2">
      <c r="B155" s="43"/>
      <c r="C155" s="43"/>
      <c r="D155" s="76"/>
      <c r="E155" s="76"/>
      <c r="F155" s="43"/>
      <c r="G155" s="43"/>
    </row>
    <row r="156" spans="2:7" ht="13.2">
      <c r="B156" s="43"/>
      <c r="C156" s="43"/>
      <c r="D156" s="76"/>
      <c r="E156" s="76"/>
      <c r="F156" s="43"/>
      <c r="G156" s="43"/>
    </row>
    <row r="157" spans="2:7" ht="13.2">
      <c r="B157" s="43"/>
      <c r="C157" s="43"/>
      <c r="D157" s="76"/>
      <c r="E157" s="76"/>
      <c r="F157" s="43"/>
      <c r="G157" s="43"/>
    </row>
    <row r="158" spans="2:7" ht="13.2">
      <c r="B158" s="43"/>
      <c r="C158" s="43"/>
      <c r="D158" s="76"/>
      <c r="E158" s="76"/>
      <c r="F158" s="43"/>
      <c r="G158" s="43"/>
    </row>
    <row r="159" spans="2:7" ht="13.2">
      <c r="B159" s="43"/>
      <c r="C159" s="43"/>
      <c r="D159" s="76"/>
      <c r="E159" s="76"/>
      <c r="F159" s="43"/>
      <c r="G159" s="43"/>
    </row>
    <row r="160" spans="2:7" ht="13.2">
      <c r="B160" s="43"/>
      <c r="C160" s="43"/>
      <c r="D160" s="76"/>
      <c r="E160" s="76"/>
      <c r="F160" s="43"/>
      <c r="G160" s="43"/>
    </row>
    <row r="161" spans="2:7" ht="13.2">
      <c r="B161" s="43"/>
      <c r="C161" s="43"/>
      <c r="D161" s="76"/>
      <c r="E161" s="76"/>
      <c r="F161" s="43"/>
      <c r="G161" s="43"/>
    </row>
    <row r="162" spans="2:7" ht="13.2">
      <c r="B162" s="43"/>
      <c r="C162" s="43"/>
      <c r="D162" s="76"/>
      <c r="E162" s="76"/>
      <c r="F162" s="43"/>
      <c r="G162" s="43"/>
    </row>
    <row r="163" spans="2:7" ht="13.2">
      <c r="B163" s="43"/>
      <c r="C163" s="43"/>
      <c r="D163" s="76"/>
      <c r="E163" s="76"/>
      <c r="F163" s="43"/>
      <c r="G163" s="43"/>
    </row>
    <row r="164" spans="2:7" ht="13.2">
      <c r="B164" s="43"/>
      <c r="C164" s="43"/>
      <c r="D164" s="76"/>
      <c r="E164" s="76"/>
      <c r="F164" s="43"/>
      <c r="G164" s="43"/>
    </row>
    <row r="165" spans="2:7" ht="13.2">
      <c r="B165" s="43"/>
      <c r="C165" s="43"/>
      <c r="D165" s="76"/>
      <c r="E165" s="76"/>
      <c r="F165" s="43"/>
      <c r="G165" s="43"/>
    </row>
    <row r="166" spans="2:7" ht="13.2">
      <c r="B166" s="43"/>
      <c r="C166" s="43"/>
      <c r="D166" s="76"/>
      <c r="E166" s="76"/>
      <c r="F166" s="43"/>
      <c r="G166" s="43"/>
    </row>
    <row r="167" spans="2:7" ht="13.2">
      <c r="B167" s="43"/>
      <c r="C167" s="43"/>
      <c r="D167" s="76"/>
      <c r="E167" s="76"/>
      <c r="F167" s="43"/>
      <c r="G167" s="43"/>
    </row>
    <row r="168" spans="2:7" ht="13.2">
      <c r="B168" s="43"/>
      <c r="C168" s="43"/>
      <c r="D168" s="76"/>
      <c r="E168" s="76"/>
      <c r="F168" s="43"/>
      <c r="G168" s="43"/>
    </row>
    <row r="169" spans="2:7" ht="13.2">
      <c r="B169" s="43"/>
      <c r="C169" s="43"/>
      <c r="D169" s="76"/>
      <c r="E169" s="76"/>
      <c r="F169" s="43"/>
      <c r="G169" s="43"/>
    </row>
    <row r="170" spans="2:7" ht="13.2">
      <c r="B170" s="43"/>
      <c r="C170" s="43"/>
      <c r="D170" s="76"/>
      <c r="E170" s="76"/>
      <c r="F170" s="43"/>
      <c r="G170" s="43"/>
    </row>
    <row r="171" spans="2:7" ht="13.2">
      <c r="B171" s="43"/>
      <c r="C171" s="43"/>
      <c r="D171" s="76"/>
      <c r="E171" s="76"/>
      <c r="F171" s="43"/>
      <c r="G171" s="43"/>
    </row>
    <row r="172" spans="2:7" ht="13.2">
      <c r="B172" s="43"/>
      <c r="C172" s="43"/>
      <c r="D172" s="76"/>
      <c r="E172" s="76"/>
      <c r="F172" s="43"/>
      <c r="G172" s="43"/>
    </row>
    <row r="173" spans="2:7" ht="13.2">
      <c r="B173" s="43"/>
      <c r="C173" s="43"/>
      <c r="D173" s="76"/>
      <c r="E173" s="76"/>
      <c r="F173" s="43"/>
      <c r="G173" s="43"/>
    </row>
    <row r="174" spans="2:7" ht="13.2">
      <c r="B174" s="43"/>
      <c r="C174" s="43"/>
      <c r="D174" s="76"/>
      <c r="E174" s="76"/>
      <c r="F174" s="43"/>
      <c r="G174" s="43"/>
    </row>
    <row r="175" spans="2:7" ht="13.2">
      <c r="B175" s="43"/>
      <c r="C175" s="43"/>
      <c r="D175" s="76"/>
      <c r="E175" s="76"/>
      <c r="F175" s="43"/>
      <c r="G175" s="43"/>
    </row>
    <row r="176" spans="2:7" ht="13.2">
      <c r="B176" s="43"/>
      <c r="C176" s="43"/>
      <c r="D176" s="76"/>
      <c r="E176" s="76"/>
      <c r="F176" s="43"/>
      <c r="G176" s="43"/>
    </row>
    <row r="177" spans="2:7" ht="13.2">
      <c r="B177" s="43"/>
      <c r="C177" s="43"/>
      <c r="D177" s="76"/>
      <c r="E177" s="76"/>
      <c r="F177" s="43"/>
      <c r="G177" s="43"/>
    </row>
    <row r="178" spans="2:7" ht="13.2">
      <c r="B178" s="43"/>
      <c r="C178" s="43"/>
      <c r="D178" s="76"/>
      <c r="E178" s="76"/>
      <c r="F178" s="43"/>
      <c r="G178" s="43"/>
    </row>
    <row r="179" spans="2:7" ht="13.2">
      <c r="B179" s="43"/>
      <c r="C179" s="43"/>
      <c r="D179" s="76"/>
      <c r="E179" s="76"/>
      <c r="F179" s="43"/>
      <c r="G179" s="43"/>
    </row>
    <row r="180" spans="2:7" ht="13.2">
      <c r="B180" s="43"/>
      <c r="C180" s="43"/>
      <c r="D180" s="76"/>
      <c r="E180" s="76"/>
      <c r="F180" s="43"/>
      <c r="G180" s="43"/>
    </row>
    <row r="181" spans="2:7" ht="13.2">
      <c r="B181" s="43"/>
      <c r="C181" s="43"/>
      <c r="D181" s="76"/>
      <c r="E181" s="76"/>
      <c r="F181" s="43"/>
      <c r="G181" s="43"/>
    </row>
    <row r="182" spans="2:7" ht="13.2">
      <c r="B182" s="43"/>
      <c r="C182" s="43"/>
      <c r="D182" s="76"/>
      <c r="E182" s="76"/>
      <c r="F182" s="43"/>
      <c r="G182" s="43"/>
    </row>
    <row r="183" spans="2:7" ht="13.2">
      <c r="B183" s="43"/>
      <c r="C183" s="43"/>
      <c r="D183" s="76"/>
      <c r="E183" s="76"/>
      <c r="F183" s="43"/>
      <c r="G183" s="43"/>
    </row>
    <row r="184" spans="2:7" ht="13.2">
      <c r="B184" s="43"/>
      <c r="C184" s="43"/>
      <c r="D184" s="76"/>
      <c r="E184" s="76"/>
      <c r="F184" s="43"/>
      <c r="G184" s="43"/>
    </row>
    <row r="185" spans="2:7" ht="13.2">
      <c r="B185" s="43"/>
      <c r="C185" s="43"/>
      <c r="D185" s="76"/>
      <c r="E185" s="76"/>
      <c r="F185" s="43"/>
      <c r="G185" s="43"/>
    </row>
    <row r="186" spans="2:7" ht="13.2">
      <c r="B186" s="43"/>
      <c r="C186" s="43"/>
      <c r="D186" s="76"/>
      <c r="E186" s="76"/>
      <c r="F186" s="43"/>
      <c r="G186" s="43"/>
    </row>
    <row r="187" spans="2:7" ht="13.2">
      <c r="B187" s="43"/>
      <c r="C187" s="43"/>
      <c r="D187" s="76"/>
      <c r="E187" s="76"/>
      <c r="F187" s="43"/>
      <c r="G187" s="43"/>
    </row>
    <row r="188" spans="2:7" ht="13.2">
      <c r="B188" s="43"/>
      <c r="C188" s="43"/>
      <c r="D188" s="76"/>
      <c r="E188" s="76"/>
      <c r="F188" s="43"/>
      <c r="G188" s="43"/>
    </row>
    <row r="189" spans="2:7" ht="13.2">
      <c r="B189" s="43"/>
      <c r="C189" s="43"/>
      <c r="D189" s="76"/>
      <c r="E189" s="76"/>
      <c r="F189" s="43"/>
      <c r="G189" s="43"/>
    </row>
    <row r="190" spans="2:7" ht="13.2">
      <c r="B190" s="43"/>
      <c r="C190" s="43"/>
      <c r="D190" s="76"/>
      <c r="E190" s="76"/>
      <c r="F190" s="43"/>
      <c r="G190" s="43"/>
    </row>
    <row r="191" spans="2:7" ht="13.2">
      <c r="B191" s="43"/>
      <c r="C191" s="43"/>
      <c r="D191" s="76"/>
      <c r="E191" s="76"/>
      <c r="F191" s="43"/>
      <c r="G191" s="43"/>
    </row>
    <row r="192" spans="2:7" ht="13.2">
      <c r="B192" s="43"/>
      <c r="C192" s="43"/>
      <c r="D192" s="76"/>
      <c r="E192" s="76"/>
      <c r="F192" s="43"/>
      <c r="G192" s="43"/>
    </row>
    <row r="193" spans="2:7" ht="13.2">
      <c r="B193" s="43"/>
      <c r="C193" s="43"/>
      <c r="D193" s="76"/>
      <c r="E193" s="76"/>
      <c r="F193" s="43"/>
      <c r="G193" s="43"/>
    </row>
    <row r="194" spans="2:7" ht="13.2">
      <c r="B194" s="43"/>
      <c r="C194" s="43"/>
      <c r="D194" s="76"/>
      <c r="E194" s="76"/>
      <c r="F194" s="43"/>
      <c r="G194" s="43"/>
    </row>
    <row r="195" spans="2:7" ht="13.2">
      <c r="B195" s="43"/>
      <c r="C195" s="43"/>
      <c r="D195" s="76"/>
      <c r="E195" s="76"/>
      <c r="F195" s="43"/>
      <c r="G195" s="43"/>
    </row>
    <row r="196" spans="2:7" ht="13.2">
      <c r="B196" s="43"/>
      <c r="C196" s="43"/>
      <c r="D196" s="76"/>
      <c r="E196" s="76"/>
      <c r="F196" s="43"/>
      <c r="G196" s="43"/>
    </row>
    <row r="197" spans="2:7" ht="13.2">
      <c r="B197" s="43"/>
      <c r="C197" s="43"/>
      <c r="D197" s="76"/>
      <c r="E197" s="76"/>
      <c r="F197" s="43"/>
      <c r="G197" s="43"/>
    </row>
    <row r="198" spans="2:7" ht="13.2">
      <c r="B198" s="43"/>
      <c r="C198" s="43"/>
      <c r="D198" s="76"/>
      <c r="E198" s="76"/>
      <c r="F198" s="43"/>
      <c r="G198" s="43"/>
    </row>
    <row r="199" spans="2:7" ht="13.2">
      <c r="B199" s="43"/>
      <c r="C199" s="43"/>
      <c r="D199" s="76"/>
      <c r="E199" s="76"/>
      <c r="F199" s="43"/>
      <c r="G199" s="43"/>
    </row>
    <row r="200" spans="2:7" ht="13.2">
      <c r="B200" s="43"/>
      <c r="C200" s="43"/>
      <c r="D200" s="76"/>
      <c r="E200" s="76"/>
      <c r="F200" s="43"/>
      <c r="G200" s="43"/>
    </row>
    <row r="201" spans="2:7" ht="13.2">
      <c r="B201" s="43"/>
      <c r="C201" s="43"/>
      <c r="D201" s="76"/>
      <c r="E201" s="76"/>
      <c r="F201" s="43"/>
      <c r="G201" s="43"/>
    </row>
    <row r="202" spans="2:7" ht="13.2">
      <c r="B202" s="43"/>
      <c r="C202" s="43"/>
      <c r="D202" s="76"/>
      <c r="E202" s="76"/>
      <c r="F202" s="43"/>
      <c r="G202" s="43"/>
    </row>
    <row r="203" spans="2:7" ht="13.2">
      <c r="B203" s="43"/>
      <c r="C203" s="43"/>
      <c r="D203" s="76"/>
      <c r="E203" s="76"/>
      <c r="F203" s="43"/>
      <c r="G203" s="43"/>
    </row>
    <row r="204" spans="2:7" ht="13.2">
      <c r="B204" s="43"/>
      <c r="C204" s="43"/>
      <c r="D204" s="76"/>
      <c r="E204" s="76"/>
      <c r="F204" s="43"/>
      <c r="G204" s="43"/>
    </row>
    <row r="205" spans="2:7" ht="13.2">
      <c r="B205" s="43"/>
      <c r="C205" s="43"/>
      <c r="D205" s="76"/>
      <c r="E205" s="76"/>
      <c r="F205" s="43"/>
      <c r="G205" s="43"/>
    </row>
    <row r="206" spans="2:7" ht="13.2">
      <c r="B206" s="43"/>
      <c r="C206" s="43"/>
      <c r="D206" s="76"/>
      <c r="E206" s="76"/>
      <c r="F206" s="43"/>
      <c r="G206" s="43"/>
    </row>
    <row r="207" spans="2:7" ht="13.2">
      <c r="B207" s="43"/>
      <c r="C207" s="43"/>
      <c r="D207" s="76"/>
      <c r="E207" s="76"/>
      <c r="F207" s="43"/>
      <c r="G207" s="43"/>
    </row>
    <row r="208" spans="2:7" ht="13.2">
      <c r="B208" s="43"/>
      <c r="C208" s="43"/>
      <c r="D208" s="76"/>
      <c r="E208" s="76"/>
      <c r="F208" s="43"/>
      <c r="G208" s="43"/>
    </row>
    <row r="209" spans="2:7" ht="13.2">
      <c r="B209" s="43"/>
      <c r="C209" s="43"/>
      <c r="D209" s="76"/>
      <c r="E209" s="76"/>
      <c r="F209" s="43"/>
      <c r="G209" s="43"/>
    </row>
    <row r="210" spans="2:7" ht="13.2">
      <c r="B210" s="43"/>
      <c r="C210" s="43"/>
      <c r="D210" s="76"/>
      <c r="E210" s="76"/>
      <c r="F210" s="43"/>
      <c r="G210" s="43"/>
    </row>
    <row r="211" spans="2:7" ht="13.2">
      <c r="B211" s="43"/>
      <c r="C211" s="43"/>
      <c r="D211" s="76"/>
      <c r="E211" s="76"/>
      <c r="F211" s="43"/>
      <c r="G211" s="43"/>
    </row>
    <row r="212" spans="2:7" ht="13.2">
      <c r="B212" s="43"/>
      <c r="C212" s="43"/>
      <c r="D212" s="76"/>
      <c r="E212" s="76"/>
      <c r="F212" s="43"/>
      <c r="G212" s="43"/>
    </row>
    <row r="213" spans="2:7" ht="13.2">
      <c r="B213" s="43"/>
      <c r="C213" s="43"/>
      <c r="D213" s="76"/>
      <c r="E213" s="76"/>
      <c r="F213" s="43"/>
      <c r="G213" s="43"/>
    </row>
    <row r="214" spans="2:7" ht="13.2">
      <c r="B214" s="43"/>
      <c r="C214" s="43"/>
      <c r="D214" s="76"/>
      <c r="E214" s="76"/>
      <c r="F214" s="43"/>
      <c r="G214" s="43"/>
    </row>
    <row r="215" spans="2:7" ht="13.2">
      <c r="B215" s="43"/>
      <c r="C215" s="43"/>
      <c r="D215" s="76"/>
      <c r="E215" s="76"/>
      <c r="F215" s="43"/>
      <c r="G215" s="43"/>
    </row>
    <row r="216" spans="2:7" ht="13.2">
      <c r="B216" s="43"/>
      <c r="C216" s="43"/>
      <c r="D216" s="76"/>
      <c r="E216" s="76"/>
      <c r="F216" s="43"/>
      <c r="G216" s="43"/>
    </row>
    <row r="217" spans="2:7" ht="13.2">
      <c r="B217" s="43"/>
      <c r="C217" s="43"/>
      <c r="D217" s="76"/>
      <c r="E217" s="76"/>
      <c r="F217" s="43"/>
      <c r="G217" s="43"/>
    </row>
    <row r="218" spans="2:7" ht="13.2">
      <c r="B218" s="43"/>
      <c r="C218" s="43"/>
      <c r="D218" s="76"/>
      <c r="E218" s="76"/>
      <c r="F218" s="43"/>
      <c r="G218" s="43"/>
    </row>
    <row r="219" spans="2:7" ht="13.2">
      <c r="B219" s="43"/>
      <c r="C219" s="43"/>
      <c r="D219" s="76"/>
      <c r="E219" s="76"/>
      <c r="F219" s="43"/>
      <c r="G219" s="43"/>
    </row>
    <row r="220" spans="2:7" ht="13.2">
      <c r="B220" s="43"/>
      <c r="C220" s="43"/>
      <c r="D220" s="76"/>
      <c r="E220" s="76"/>
      <c r="F220" s="43"/>
      <c r="G220" s="43"/>
    </row>
    <row r="221" spans="2:7" ht="13.2">
      <c r="B221" s="43"/>
      <c r="C221" s="43"/>
      <c r="D221" s="76"/>
      <c r="E221" s="76"/>
      <c r="F221" s="43"/>
      <c r="G221" s="43"/>
    </row>
    <row r="222" spans="2:7" ht="13.2">
      <c r="B222" s="43"/>
      <c r="C222" s="43"/>
      <c r="D222" s="76"/>
      <c r="E222" s="76"/>
      <c r="F222" s="43"/>
      <c r="G222" s="43"/>
    </row>
    <row r="223" spans="2:7" ht="13.2">
      <c r="B223" s="43"/>
      <c r="C223" s="43"/>
      <c r="D223" s="76"/>
      <c r="E223" s="76"/>
      <c r="F223" s="43"/>
      <c r="G223" s="43"/>
    </row>
    <row r="224" spans="2:7" ht="13.2">
      <c r="B224" s="43"/>
      <c r="C224" s="43"/>
      <c r="D224" s="76"/>
      <c r="E224" s="76"/>
      <c r="F224" s="43"/>
      <c r="G224" s="43"/>
    </row>
    <row r="225" spans="2:7" ht="13.2">
      <c r="B225" s="43"/>
      <c r="C225" s="43"/>
      <c r="D225" s="76"/>
      <c r="E225" s="76"/>
      <c r="F225" s="43"/>
      <c r="G225" s="43"/>
    </row>
    <row r="226" spans="2:7" ht="13.2">
      <c r="B226" s="43"/>
      <c r="C226" s="43"/>
      <c r="D226" s="76"/>
      <c r="E226" s="76"/>
      <c r="F226" s="43"/>
      <c r="G226" s="43"/>
    </row>
    <row r="227" spans="2:7" ht="13.2">
      <c r="B227" s="43"/>
      <c r="C227" s="43"/>
      <c r="D227" s="76"/>
      <c r="E227" s="76"/>
      <c r="F227" s="43"/>
      <c r="G227" s="43"/>
    </row>
    <row r="228" spans="2:7" ht="13.2">
      <c r="B228" s="43"/>
      <c r="C228" s="43"/>
      <c r="D228" s="76"/>
      <c r="E228" s="76"/>
      <c r="F228" s="43"/>
      <c r="G228" s="43"/>
    </row>
    <row r="229" spans="2:7" ht="13.2">
      <c r="B229" s="43"/>
      <c r="C229" s="43"/>
      <c r="D229" s="76"/>
      <c r="E229" s="76"/>
      <c r="F229" s="43"/>
      <c r="G229" s="43"/>
    </row>
    <row r="230" spans="2:7" ht="13.2">
      <c r="B230" s="43"/>
      <c r="C230" s="43"/>
      <c r="D230" s="76"/>
      <c r="E230" s="76"/>
      <c r="F230" s="43"/>
      <c r="G230" s="43"/>
    </row>
    <row r="231" spans="2:7" ht="13.2">
      <c r="B231" s="43"/>
      <c r="C231" s="43"/>
      <c r="D231" s="76"/>
      <c r="E231" s="76"/>
      <c r="F231" s="43"/>
      <c r="G231" s="43"/>
    </row>
    <row r="232" spans="2:7" ht="13.2">
      <c r="B232" s="43"/>
      <c r="C232" s="43"/>
      <c r="D232" s="76"/>
      <c r="E232" s="76"/>
      <c r="F232" s="43"/>
      <c r="G232" s="43"/>
    </row>
    <row r="233" spans="2:7" ht="13.2">
      <c r="B233" s="43"/>
      <c r="C233" s="43"/>
      <c r="D233" s="76"/>
      <c r="E233" s="76"/>
      <c r="F233" s="43"/>
      <c r="G233" s="43"/>
    </row>
    <row r="234" spans="2:7" ht="13.2">
      <c r="B234" s="43"/>
      <c r="C234" s="43"/>
      <c r="D234" s="76"/>
      <c r="E234" s="76"/>
      <c r="F234" s="43"/>
      <c r="G234" s="43"/>
    </row>
    <row r="235" spans="2:7" ht="13.2">
      <c r="B235" s="43"/>
      <c r="C235" s="43"/>
      <c r="D235" s="76"/>
      <c r="E235" s="76"/>
      <c r="F235" s="43"/>
      <c r="G235" s="43"/>
    </row>
    <row r="236" spans="2:7" ht="13.2">
      <c r="B236" s="43"/>
      <c r="C236" s="43"/>
      <c r="D236" s="76"/>
      <c r="E236" s="76"/>
      <c r="F236" s="43"/>
      <c r="G236" s="43"/>
    </row>
    <row r="237" spans="2:7" ht="13.2">
      <c r="B237" s="43"/>
      <c r="C237" s="43"/>
      <c r="D237" s="76"/>
      <c r="E237" s="76"/>
      <c r="F237" s="43"/>
      <c r="G237" s="43"/>
    </row>
    <row r="238" spans="2:7" ht="13.2">
      <c r="B238" s="43"/>
      <c r="C238" s="43"/>
      <c r="D238" s="76"/>
      <c r="E238" s="76"/>
      <c r="F238" s="43"/>
      <c r="G238" s="43"/>
    </row>
    <row r="239" spans="2:7" ht="13.2">
      <c r="B239" s="43"/>
      <c r="C239" s="43"/>
      <c r="D239" s="76"/>
      <c r="E239" s="76"/>
      <c r="F239" s="43"/>
      <c r="G239" s="43"/>
    </row>
    <row r="240" spans="2:7" ht="13.2">
      <c r="B240" s="43"/>
      <c r="C240" s="43"/>
      <c r="D240" s="76"/>
      <c r="E240" s="76"/>
      <c r="F240" s="43"/>
      <c r="G240" s="43"/>
    </row>
    <row r="241" spans="2:7" ht="13.2">
      <c r="B241" s="43"/>
      <c r="C241" s="43"/>
      <c r="D241" s="76"/>
      <c r="E241" s="76"/>
      <c r="F241" s="43"/>
      <c r="G241" s="43"/>
    </row>
    <row r="242" spans="2:7" ht="13.2">
      <c r="B242" s="43"/>
      <c r="C242" s="43"/>
      <c r="D242" s="76"/>
      <c r="E242" s="76"/>
      <c r="F242" s="43"/>
      <c r="G242" s="43"/>
    </row>
    <row r="243" spans="2:7" ht="13.2">
      <c r="B243" s="43"/>
      <c r="C243" s="43"/>
      <c r="D243" s="76"/>
      <c r="E243" s="76"/>
      <c r="F243" s="43"/>
      <c r="G243" s="43"/>
    </row>
    <row r="244" spans="2:7" ht="13.2">
      <c r="B244" s="43"/>
      <c r="C244" s="43"/>
      <c r="D244" s="76"/>
      <c r="E244" s="76"/>
      <c r="F244" s="43"/>
      <c r="G244" s="43"/>
    </row>
    <row r="245" spans="2:7" ht="13.2">
      <c r="B245" s="43"/>
      <c r="C245" s="43"/>
      <c r="D245" s="76"/>
      <c r="E245" s="76"/>
      <c r="F245" s="43"/>
      <c r="G245" s="43"/>
    </row>
    <row r="246" spans="2:7" ht="13.2">
      <c r="B246" s="43"/>
      <c r="C246" s="43"/>
      <c r="D246" s="76"/>
      <c r="E246" s="76"/>
      <c r="F246" s="43"/>
      <c r="G246" s="43"/>
    </row>
    <row r="247" spans="2:7" ht="13.2">
      <c r="B247" s="43"/>
      <c r="C247" s="43"/>
      <c r="D247" s="76"/>
      <c r="E247" s="76"/>
      <c r="F247" s="43"/>
      <c r="G247" s="43"/>
    </row>
    <row r="248" spans="2:7" ht="13.2">
      <c r="B248" s="43"/>
      <c r="C248" s="43"/>
      <c r="D248" s="76"/>
      <c r="E248" s="76"/>
      <c r="F248" s="43"/>
      <c r="G248" s="43"/>
    </row>
    <row r="249" spans="2:7" ht="13.2">
      <c r="B249" s="43"/>
      <c r="C249" s="43"/>
      <c r="D249" s="76"/>
      <c r="E249" s="76"/>
      <c r="F249" s="43"/>
      <c r="G249" s="43"/>
    </row>
    <row r="250" spans="2:7" ht="13.2">
      <c r="B250" s="43"/>
      <c r="C250" s="43"/>
      <c r="D250" s="76"/>
      <c r="E250" s="76"/>
      <c r="F250" s="43"/>
      <c r="G250" s="43"/>
    </row>
    <row r="251" spans="2:7" ht="13.2">
      <c r="B251" s="43"/>
      <c r="C251" s="43"/>
      <c r="D251" s="76"/>
      <c r="E251" s="76"/>
      <c r="F251" s="43"/>
      <c r="G251" s="43"/>
    </row>
    <row r="252" spans="2:7" ht="13.2">
      <c r="B252" s="43"/>
      <c r="C252" s="43"/>
      <c r="D252" s="76"/>
      <c r="E252" s="76"/>
      <c r="F252" s="43"/>
      <c r="G252" s="43"/>
    </row>
    <row r="253" spans="2:7" ht="13.2">
      <c r="B253" s="43"/>
      <c r="C253" s="43"/>
      <c r="D253" s="76"/>
      <c r="E253" s="76"/>
      <c r="F253" s="43"/>
      <c r="G253" s="43"/>
    </row>
    <row r="254" spans="2:7" ht="13.2">
      <c r="B254" s="43"/>
      <c r="C254" s="43"/>
      <c r="D254" s="76"/>
      <c r="E254" s="76"/>
      <c r="F254" s="43"/>
      <c r="G254" s="43"/>
    </row>
    <row r="255" spans="2:7" ht="13.2">
      <c r="B255" s="43"/>
      <c r="C255" s="43"/>
      <c r="D255" s="76"/>
      <c r="E255" s="76"/>
      <c r="F255" s="43"/>
      <c r="G255" s="43"/>
    </row>
    <row r="256" spans="2:7" ht="13.2">
      <c r="B256" s="43"/>
      <c r="C256" s="43"/>
      <c r="D256" s="76"/>
      <c r="E256" s="76"/>
      <c r="F256" s="43"/>
      <c r="G256" s="43"/>
    </row>
    <row r="257" spans="2:7" ht="13.2">
      <c r="B257" s="43"/>
      <c r="C257" s="43"/>
      <c r="D257" s="76"/>
      <c r="E257" s="76"/>
      <c r="F257" s="43"/>
      <c r="G257" s="43"/>
    </row>
    <row r="258" spans="2:7" ht="13.2">
      <c r="B258" s="43"/>
      <c r="C258" s="43"/>
      <c r="D258" s="76"/>
      <c r="E258" s="76"/>
      <c r="F258" s="43"/>
      <c r="G258" s="43"/>
    </row>
    <row r="259" spans="2:7" ht="13.2">
      <c r="B259" s="43"/>
      <c r="C259" s="43"/>
      <c r="D259" s="76"/>
      <c r="E259" s="76"/>
      <c r="F259" s="43"/>
      <c r="G259" s="43"/>
    </row>
    <row r="260" spans="2:7" ht="13.2">
      <c r="B260" s="43"/>
      <c r="C260" s="43"/>
      <c r="D260" s="76"/>
      <c r="E260" s="76"/>
      <c r="F260" s="43"/>
      <c r="G260" s="43"/>
    </row>
    <row r="261" spans="2:7" ht="13.2">
      <c r="B261" s="43"/>
      <c r="C261" s="43"/>
      <c r="D261" s="76"/>
      <c r="E261" s="76"/>
      <c r="F261" s="43"/>
      <c r="G261" s="43"/>
    </row>
    <row r="262" spans="2:7" ht="13.2">
      <c r="B262" s="43"/>
      <c r="C262" s="43"/>
      <c r="D262" s="76"/>
      <c r="E262" s="76"/>
      <c r="F262" s="43"/>
      <c r="G262" s="43"/>
    </row>
    <row r="263" spans="2:7" ht="13.2">
      <c r="B263" s="43"/>
      <c r="C263" s="43"/>
      <c r="D263" s="76"/>
      <c r="E263" s="76"/>
      <c r="F263" s="43"/>
      <c r="G263" s="43"/>
    </row>
    <row r="264" spans="2:7" ht="13.2">
      <c r="B264" s="43"/>
      <c r="C264" s="43"/>
      <c r="D264" s="76"/>
      <c r="E264" s="76"/>
      <c r="F264" s="43"/>
      <c r="G264" s="43"/>
    </row>
    <row r="265" spans="2:7" ht="13.2">
      <c r="B265" s="43"/>
      <c r="C265" s="43"/>
      <c r="D265" s="76"/>
      <c r="E265" s="76"/>
      <c r="F265" s="43"/>
      <c r="G265" s="43"/>
    </row>
    <row r="266" spans="2:7" ht="13.2">
      <c r="B266" s="43"/>
      <c r="C266" s="43"/>
      <c r="D266" s="76"/>
      <c r="E266" s="76"/>
      <c r="F266" s="43"/>
      <c r="G266" s="43"/>
    </row>
    <row r="267" spans="2:7" ht="13.2">
      <c r="B267" s="43"/>
      <c r="C267" s="43"/>
      <c r="D267" s="76"/>
      <c r="E267" s="76"/>
      <c r="F267" s="43"/>
      <c r="G267" s="43"/>
    </row>
    <row r="268" spans="2:7" ht="13.2">
      <c r="B268" s="43"/>
      <c r="C268" s="43"/>
      <c r="D268" s="76"/>
      <c r="E268" s="76"/>
      <c r="F268" s="43"/>
      <c r="G268" s="43"/>
    </row>
    <row r="269" spans="2:7" ht="13.2">
      <c r="B269" s="43"/>
      <c r="C269" s="43"/>
      <c r="D269" s="76"/>
      <c r="E269" s="76"/>
      <c r="F269" s="43"/>
      <c r="G269" s="43"/>
    </row>
    <row r="270" spans="2:7" ht="13.2">
      <c r="B270" s="43"/>
      <c r="C270" s="43"/>
      <c r="D270" s="76"/>
      <c r="E270" s="76"/>
      <c r="F270" s="43"/>
      <c r="G270" s="43"/>
    </row>
    <row r="271" spans="2:7" ht="13.2">
      <c r="B271" s="43"/>
      <c r="C271" s="43"/>
      <c r="D271" s="76"/>
      <c r="E271" s="76"/>
      <c r="F271" s="43"/>
      <c r="G271" s="43"/>
    </row>
    <row r="272" spans="2:7" ht="13.2">
      <c r="B272" s="43"/>
      <c r="C272" s="43"/>
      <c r="D272" s="76"/>
      <c r="E272" s="76"/>
      <c r="F272" s="43"/>
      <c r="G272" s="43"/>
    </row>
    <row r="273" spans="2:7" ht="13.2">
      <c r="B273" s="43"/>
      <c r="C273" s="43"/>
      <c r="D273" s="76"/>
      <c r="E273" s="76"/>
      <c r="F273" s="43"/>
      <c r="G273" s="43"/>
    </row>
    <row r="274" spans="2:7" ht="13.2">
      <c r="B274" s="43"/>
      <c r="C274" s="43"/>
      <c r="D274" s="76"/>
      <c r="E274" s="76"/>
      <c r="F274" s="43"/>
      <c r="G274" s="43"/>
    </row>
    <row r="275" spans="2:7" ht="13.2">
      <c r="B275" s="43"/>
      <c r="C275" s="43"/>
      <c r="D275" s="76"/>
      <c r="E275" s="76"/>
      <c r="F275" s="43"/>
      <c r="G275" s="43"/>
    </row>
    <row r="276" spans="2:7" ht="13.2">
      <c r="B276" s="43"/>
      <c r="C276" s="43"/>
      <c r="D276" s="76"/>
      <c r="E276" s="76"/>
      <c r="F276" s="43"/>
      <c r="G276" s="43"/>
    </row>
    <row r="277" spans="2:7" ht="13.2">
      <c r="B277" s="43"/>
      <c r="C277" s="43"/>
      <c r="D277" s="76"/>
      <c r="E277" s="76"/>
      <c r="F277" s="43"/>
      <c r="G277" s="43"/>
    </row>
    <row r="278" spans="2:7" ht="13.2">
      <c r="B278" s="43"/>
      <c r="C278" s="43"/>
      <c r="D278" s="76"/>
      <c r="E278" s="76"/>
      <c r="F278" s="43"/>
      <c r="G278" s="43"/>
    </row>
    <row r="279" spans="2:7" ht="13.2">
      <c r="B279" s="43"/>
      <c r="C279" s="43"/>
      <c r="D279" s="76"/>
      <c r="E279" s="76"/>
      <c r="F279" s="43"/>
      <c r="G279" s="43"/>
    </row>
    <row r="280" spans="2:7" ht="13.2">
      <c r="B280" s="43"/>
      <c r="C280" s="43"/>
      <c r="D280" s="76"/>
      <c r="E280" s="76"/>
      <c r="F280" s="43"/>
      <c r="G280" s="43"/>
    </row>
    <row r="281" spans="2:7" ht="13.2">
      <c r="B281" s="43"/>
      <c r="C281" s="43"/>
      <c r="D281" s="76"/>
      <c r="E281" s="76"/>
      <c r="F281" s="43"/>
      <c r="G281" s="43"/>
    </row>
    <row r="282" spans="2:7" ht="13.2">
      <c r="B282" s="43"/>
      <c r="C282" s="43"/>
      <c r="D282" s="76"/>
      <c r="E282" s="76"/>
      <c r="F282" s="43"/>
      <c r="G282" s="43"/>
    </row>
    <row r="283" spans="2:7" ht="13.2">
      <c r="B283" s="43"/>
      <c r="C283" s="43"/>
      <c r="D283" s="76"/>
      <c r="E283" s="76"/>
      <c r="F283" s="43"/>
      <c r="G283" s="43"/>
    </row>
    <row r="284" spans="2:7" ht="13.2">
      <c r="B284" s="43"/>
      <c r="C284" s="43"/>
      <c r="D284" s="76"/>
      <c r="E284" s="76"/>
      <c r="F284" s="43"/>
      <c r="G284" s="43"/>
    </row>
    <row r="285" spans="2:7" ht="13.2">
      <c r="B285" s="43"/>
      <c r="C285" s="43"/>
      <c r="D285" s="76"/>
      <c r="E285" s="76"/>
      <c r="F285" s="43"/>
      <c r="G285" s="43"/>
    </row>
    <row r="286" spans="2:7" ht="13.2">
      <c r="B286" s="43"/>
      <c r="C286" s="43"/>
      <c r="D286" s="76"/>
      <c r="E286" s="76"/>
      <c r="F286" s="43"/>
      <c r="G286" s="43"/>
    </row>
    <row r="287" spans="2:7" ht="13.2">
      <c r="B287" s="43"/>
      <c r="C287" s="43"/>
      <c r="D287" s="76"/>
      <c r="E287" s="76"/>
      <c r="F287" s="43"/>
      <c r="G287" s="43"/>
    </row>
    <row r="288" spans="2:7" ht="13.2">
      <c r="B288" s="43"/>
      <c r="C288" s="43"/>
      <c r="D288" s="76"/>
      <c r="E288" s="76"/>
      <c r="F288" s="43"/>
      <c r="G288" s="43"/>
    </row>
    <row r="289" spans="2:7" ht="13.2">
      <c r="B289" s="43"/>
      <c r="C289" s="43"/>
      <c r="D289" s="76"/>
      <c r="E289" s="76"/>
      <c r="F289" s="43"/>
      <c r="G289" s="43"/>
    </row>
    <row r="290" spans="2:7" ht="13.2">
      <c r="B290" s="43"/>
      <c r="C290" s="43"/>
      <c r="D290" s="76"/>
      <c r="E290" s="76"/>
      <c r="F290" s="43"/>
      <c r="G290" s="43"/>
    </row>
    <row r="291" spans="2:7" ht="13.2">
      <c r="B291" s="43"/>
      <c r="C291" s="43"/>
      <c r="D291" s="76"/>
      <c r="E291" s="76"/>
      <c r="F291" s="43"/>
      <c r="G291" s="43"/>
    </row>
    <row r="292" spans="2:7" ht="13.2">
      <c r="B292" s="43"/>
      <c r="C292" s="43"/>
      <c r="D292" s="76"/>
      <c r="E292" s="76"/>
      <c r="F292" s="43"/>
      <c r="G292" s="43"/>
    </row>
    <row r="293" spans="2:7" ht="13.2">
      <c r="B293" s="43"/>
      <c r="C293" s="43"/>
      <c r="D293" s="76"/>
      <c r="E293" s="76"/>
      <c r="F293" s="43"/>
      <c r="G293" s="43"/>
    </row>
    <row r="294" spans="2:7" ht="13.2">
      <c r="B294" s="43"/>
      <c r="C294" s="43"/>
      <c r="D294" s="76"/>
      <c r="E294" s="76"/>
      <c r="F294" s="43"/>
      <c r="G294" s="43"/>
    </row>
    <row r="295" spans="2:7" ht="13.2">
      <c r="B295" s="43"/>
      <c r="C295" s="43"/>
      <c r="D295" s="76"/>
      <c r="E295" s="76"/>
      <c r="F295" s="43"/>
      <c r="G295" s="43"/>
    </row>
    <row r="296" spans="2:7" ht="13.2">
      <c r="B296" s="43"/>
      <c r="C296" s="43"/>
      <c r="D296" s="76"/>
      <c r="E296" s="76"/>
      <c r="F296" s="43"/>
      <c r="G296" s="43"/>
    </row>
    <row r="297" spans="2:7" ht="13.2">
      <c r="B297" s="43"/>
      <c r="C297" s="43"/>
      <c r="D297" s="76"/>
      <c r="E297" s="76"/>
      <c r="F297" s="43"/>
      <c r="G297" s="43"/>
    </row>
    <row r="298" spans="2:7" ht="13.2">
      <c r="B298" s="43"/>
      <c r="C298" s="43"/>
      <c r="D298" s="76"/>
      <c r="E298" s="76"/>
      <c r="F298" s="43"/>
      <c r="G298" s="43"/>
    </row>
    <row r="299" spans="2:7" ht="13.2">
      <c r="B299" s="43"/>
      <c r="C299" s="43"/>
      <c r="D299" s="76"/>
      <c r="E299" s="76"/>
      <c r="F299" s="43"/>
      <c r="G299" s="43"/>
    </row>
    <row r="300" spans="2:7" ht="13.2">
      <c r="B300" s="43"/>
      <c r="C300" s="43"/>
      <c r="D300" s="76"/>
      <c r="E300" s="76"/>
      <c r="F300" s="43"/>
      <c r="G300" s="43"/>
    </row>
    <row r="301" spans="2:7" ht="13.2">
      <c r="B301" s="43"/>
      <c r="C301" s="43"/>
      <c r="D301" s="76"/>
      <c r="E301" s="76"/>
      <c r="F301" s="43"/>
      <c r="G301" s="43"/>
    </row>
    <row r="302" spans="2:7" ht="13.2">
      <c r="B302" s="43"/>
      <c r="C302" s="43"/>
      <c r="D302" s="76"/>
      <c r="E302" s="76"/>
      <c r="F302" s="43"/>
      <c r="G302" s="43"/>
    </row>
    <row r="303" spans="2:7" ht="13.2">
      <c r="B303" s="43"/>
      <c r="C303" s="43"/>
      <c r="D303" s="76"/>
      <c r="E303" s="76"/>
      <c r="F303" s="43"/>
      <c r="G303" s="43"/>
    </row>
    <row r="304" spans="2:7" ht="13.2">
      <c r="B304" s="43"/>
      <c r="C304" s="43"/>
      <c r="D304" s="76"/>
      <c r="E304" s="76"/>
      <c r="F304" s="43"/>
      <c r="G304" s="43"/>
    </row>
    <row r="305" spans="2:7" ht="13.2">
      <c r="B305" s="43"/>
      <c r="C305" s="43"/>
      <c r="D305" s="76"/>
      <c r="E305" s="76"/>
      <c r="F305" s="43"/>
      <c r="G305" s="43"/>
    </row>
    <row r="306" spans="2:7" ht="13.2">
      <c r="B306" s="43"/>
      <c r="C306" s="43"/>
      <c r="D306" s="76"/>
      <c r="E306" s="76"/>
      <c r="F306" s="43"/>
      <c r="G306" s="43"/>
    </row>
    <row r="307" spans="2:7" ht="13.2">
      <c r="B307" s="43"/>
      <c r="C307" s="43"/>
      <c r="D307" s="76"/>
      <c r="E307" s="76"/>
      <c r="F307" s="43"/>
      <c r="G307" s="43"/>
    </row>
    <row r="308" spans="2:7" ht="13.2">
      <c r="B308" s="43"/>
      <c r="C308" s="43"/>
      <c r="D308" s="76"/>
      <c r="E308" s="76"/>
      <c r="F308" s="43"/>
      <c r="G308" s="43"/>
    </row>
    <row r="309" spans="2:7" ht="13.2">
      <c r="B309" s="43"/>
      <c r="C309" s="43"/>
      <c r="D309" s="76"/>
      <c r="E309" s="76"/>
      <c r="F309" s="43"/>
      <c r="G309" s="43"/>
    </row>
    <row r="310" spans="2:7" ht="13.2">
      <c r="B310" s="43"/>
      <c r="C310" s="43"/>
      <c r="D310" s="76"/>
      <c r="E310" s="76"/>
      <c r="F310" s="43"/>
      <c r="G310" s="43"/>
    </row>
    <row r="311" spans="2:7" ht="13.2">
      <c r="B311" s="43"/>
      <c r="C311" s="43"/>
      <c r="D311" s="76"/>
      <c r="E311" s="76"/>
      <c r="F311" s="43"/>
      <c r="G311" s="43"/>
    </row>
    <row r="312" spans="2:7" ht="13.2">
      <c r="B312" s="43"/>
      <c r="C312" s="43"/>
      <c r="D312" s="76"/>
      <c r="E312" s="76"/>
      <c r="F312" s="43"/>
      <c r="G312" s="43"/>
    </row>
    <row r="313" spans="2:7" ht="13.2">
      <c r="B313" s="43"/>
      <c r="C313" s="43"/>
      <c r="D313" s="76"/>
      <c r="E313" s="76"/>
      <c r="F313" s="43"/>
      <c r="G313" s="43"/>
    </row>
    <row r="314" spans="2:7" ht="13.2">
      <c r="B314" s="43"/>
      <c r="C314" s="43"/>
      <c r="D314" s="76"/>
      <c r="E314" s="76"/>
      <c r="F314" s="43"/>
      <c r="G314" s="43"/>
    </row>
    <row r="315" spans="2:7" ht="13.2">
      <c r="B315" s="43"/>
      <c r="C315" s="43"/>
      <c r="D315" s="76"/>
      <c r="E315" s="76"/>
      <c r="F315" s="43"/>
      <c r="G315" s="43"/>
    </row>
    <row r="316" spans="2:7" ht="13.2">
      <c r="B316" s="43"/>
      <c r="C316" s="43"/>
      <c r="D316" s="76"/>
      <c r="E316" s="76"/>
      <c r="F316" s="43"/>
      <c r="G316" s="43"/>
    </row>
    <row r="317" spans="2:7" ht="13.2">
      <c r="B317" s="43"/>
      <c r="C317" s="43"/>
      <c r="D317" s="76"/>
      <c r="E317" s="76"/>
      <c r="F317" s="43"/>
      <c r="G317" s="43"/>
    </row>
    <row r="318" spans="2:7" ht="13.2">
      <c r="B318" s="43"/>
      <c r="C318" s="43"/>
      <c r="D318" s="76"/>
      <c r="E318" s="76"/>
      <c r="F318" s="43"/>
      <c r="G318" s="43"/>
    </row>
    <row r="319" spans="2:7" ht="13.2">
      <c r="B319" s="43"/>
      <c r="C319" s="43"/>
      <c r="D319" s="76"/>
      <c r="E319" s="76"/>
      <c r="F319" s="43"/>
      <c r="G319" s="43"/>
    </row>
    <row r="320" spans="2:7" ht="13.2">
      <c r="B320" s="43"/>
      <c r="C320" s="43"/>
      <c r="D320" s="76"/>
      <c r="E320" s="76"/>
      <c r="F320" s="43"/>
      <c r="G320" s="43"/>
    </row>
    <row r="321" spans="2:7" ht="13.2">
      <c r="B321" s="43"/>
      <c r="C321" s="43"/>
      <c r="D321" s="76"/>
      <c r="E321" s="76"/>
      <c r="F321" s="43"/>
      <c r="G321" s="43"/>
    </row>
    <row r="322" spans="2:7" ht="13.2">
      <c r="B322" s="43"/>
      <c r="C322" s="43"/>
      <c r="D322" s="76"/>
      <c r="E322" s="76"/>
      <c r="F322" s="43"/>
      <c r="G322" s="43"/>
    </row>
    <row r="323" spans="2:7" ht="13.2">
      <c r="B323" s="43"/>
      <c r="C323" s="43"/>
      <c r="D323" s="76"/>
      <c r="E323" s="76"/>
      <c r="F323" s="43"/>
      <c r="G323" s="43"/>
    </row>
    <row r="324" spans="2:7" ht="13.2">
      <c r="B324" s="43"/>
      <c r="C324" s="43"/>
      <c r="D324" s="76"/>
      <c r="E324" s="76"/>
      <c r="F324" s="43"/>
      <c r="G324" s="43"/>
    </row>
    <row r="325" spans="2:7" ht="13.2">
      <c r="B325" s="43"/>
      <c r="C325" s="43"/>
      <c r="D325" s="76"/>
      <c r="E325" s="76"/>
      <c r="F325" s="43"/>
      <c r="G325" s="43"/>
    </row>
    <row r="326" spans="2:7" ht="13.2">
      <c r="B326" s="43"/>
      <c r="C326" s="43"/>
      <c r="D326" s="76"/>
      <c r="E326" s="76"/>
      <c r="F326" s="43"/>
      <c r="G326" s="43"/>
    </row>
    <row r="327" spans="2:7" ht="13.2">
      <c r="B327" s="43"/>
      <c r="C327" s="43"/>
      <c r="D327" s="76"/>
      <c r="E327" s="76"/>
      <c r="F327" s="43"/>
      <c r="G327" s="43"/>
    </row>
    <row r="328" spans="2:7" ht="13.2">
      <c r="B328" s="43"/>
      <c r="C328" s="43"/>
      <c r="D328" s="76"/>
      <c r="E328" s="76"/>
      <c r="F328" s="43"/>
      <c r="G328" s="43"/>
    </row>
    <row r="329" spans="2:7" ht="13.2">
      <c r="B329" s="43"/>
      <c r="C329" s="43"/>
      <c r="D329" s="76"/>
      <c r="E329" s="76"/>
      <c r="F329" s="43"/>
      <c r="G329" s="43"/>
    </row>
    <row r="330" spans="2:7" ht="13.2">
      <c r="B330" s="43"/>
      <c r="C330" s="43"/>
      <c r="D330" s="76"/>
      <c r="E330" s="76"/>
      <c r="F330" s="43"/>
      <c r="G330" s="43"/>
    </row>
    <row r="331" spans="2:7" ht="13.2">
      <c r="B331" s="43"/>
      <c r="C331" s="43"/>
      <c r="D331" s="76"/>
      <c r="E331" s="76"/>
      <c r="F331" s="43"/>
      <c r="G331" s="43"/>
    </row>
    <row r="332" spans="2:7" ht="13.2">
      <c r="B332" s="43"/>
      <c r="C332" s="43"/>
      <c r="D332" s="76"/>
      <c r="E332" s="76"/>
      <c r="F332" s="43"/>
      <c r="G332" s="43"/>
    </row>
    <row r="333" spans="2:7" ht="13.2">
      <c r="B333" s="43"/>
      <c r="C333" s="43"/>
      <c r="D333" s="76"/>
      <c r="E333" s="76"/>
      <c r="F333" s="43"/>
      <c r="G333" s="43"/>
    </row>
    <row r="334" spans="2:7" ht="13.2">
      <c r="B334" s="43"/>
      <c r="C334" s="43"/>
      <c r="D334" s="76"/>
      <c r="E334" s="76"/>
      <c r="F334" s="43"/>
      <c r="G334" s="43"/>
    </row>
    <row r="335" spans="2:7" ht="13.2">
      <c r="B335" s="43"/>
      <c r="C335" s="43"/>
      <c r="D335" s="76"/>
      <c r="E335" s="76"/>
      <c r="F335" s="43"/>
      <c r="G335" s="43"/>
    </row>
    <row r="336" spans="2:7" ht="13.2">
      <c r="B336" s="43"/>
      <c r="C336" s="43"/>
      <c r="D336" s="76"/>
      <c r="E336" s="76"/>
      <c r="F336" s="43"/>
      <c r="G336" s="43"/>
    </row>
    <row r="337" spans="2:7" ht="13.2">
      <c r="B337" s="43"/>
      <c r="C337" s="43"/>
      <c r="D337" s="76"/>
      <c r="E337" s="76"/>
      <c r="F337" s="43"/>
      <c r="G337" s="43"/>
    </row>
    <row r="338" spans="2:7" ht="13.2">
      <c r="B338" s="43"/>
      <c r="C338" s="43"/>
      <c r="D338" s="76"/>
      <c r="E338" s="76"/>
      <c r="F338" s="43"/>
      <c r="G338" s="43"/>
    </row>
    <row r="339" spans="2:7" ht="13.2">
      <c r="B339" s="43"/>
      <c r="C339" s="43"/>
      <c r="D339" s="76"/>
      <c r="E339" s="76"/>
      <c r="F339" s="43"/>
      <c r="G339" s="43"/>
    </row>
    <row r="340" spans="2:7" ht="13.2">
      <c r="B340" s="43"/>
      <c r="C340" s="43"/>
      <c r="D340" s="76"/>
      <c r="E340" s="76"/>
      <c r="F340" s="43"/>
      <c r="G340" s="43"/>
    </row>
    <row r="341" spans="2:7" ht="13.2">
      <c r="B341" s="43"/>
      <c r="C341" s="43"/>
      <c r="D341" s="76"/>
      <c r="E341" s="76"/>
      <c r="F341" s="43"/>
      <c r="G341" s="43"/>
    </row>
    <row r="342" spans="2:7" ht="13.2">
      <c r="B342" s="43"/>
      <c r="C342" s="43"/>
      <c r="D342" s="76"/>
      <c r="E342" s="76"/>
      <c r="F342" s="43"/>
      <c r="G342" s="43"/>
    </row>
    <row r="343" spans="2:7" ht="13.2">
      <c r="B343" s="43"/>
      <c r="C343" s="43"/>
      <c r="D343" s="76"/>
      <c r="E343" s="76"/>
      <c r="F343" s="43"/>
      <c r="G343" s="43"/>
    </row>
    <row r="344" spans="2:7" ht="13.2">
      <c r="B344" s="43"/>
      <c r="C344" s="43"/>
      <c r="D344" s="76"/>
      <c r="E344" s="76"/>
      <c r="F344" s="43"/>
      <c r="G344" s="43"/>
    </row>
    <row r="345" spans="2:7" ht="13.2">
      <c r="B345" s="43"/>
      <c r="C345" s="43"/>
      <c r="D345" s="76"/>
      <c r="E345" s="76"/>
      <c r="F345" s="43"/>
      <c r="G345" s="43"/>
    </row>
    <row r="346" spans="2:7" ht="13.2">
      <c r="B346" s="43"/>
      <c r="C346" s="43"/>
      <c r="D346" s="76"/>
      <c r="E346" s="76"/>
      <c r="F346" s="43"/>
      <c r="G346" s="43"/>
    </row>
    <row r="347" spans="2:7" ht="13.2">
      <c r="B347" s="43"/>
      <c r="C347" s="43"/>
      <c r="D347" s="76"/>
      <c r="E347" s="76"/>
      <c r="F347" s="43"/>
      <c r="G347" s="43"/>
    </row>
    <row r="348" spans="2:7" ht="13.2">
      <c r="B348" s="43"/>
      <c r="C348" s="43"/>
      <c r="D348" s="76"/>
      <c r="E348" s="76"/>
      <c r="F348" s="43"/>
      <c r="G348" s="43"/>
    </row>
    <row r="349" spans="2:7" ht="13.2">
      <c r="B349" s="43"/>
      <c r="C349" s="43"/>
      <c r="D349" s="76"/>
      <c r="E349" s="76"/>
      <c r="F349" s="43"/>
      <c r="G349" s="43"/>
    </row>
    <row r="350" spans="2:7" ht="13.2">
      <c r="B350" s="43"/>
      <c r="C350" s="43"/>
      <c r="D350" s="76"/>
      <c r="E350" s="76"/>
      <c r="F350" s="43"/>
      <c r="G350" s="43"/>
    </row>
    <row r="351" spans="2:7" ht="13.2">
      <c r="B351" s="43"/>
      <c r="C351" s="43"/>
      <c r="D351" s="76"/>
      <c r="E351" s="76"/>
      <c r="F351" s="43"/>
      <c r="G351" s="43"/>
    </row>
    <row r="352" spans="2:7" ht="13.2">
      <c r="B352" s="43"/>
      <c r="C352" s="43"/>
      <c r="D352" s="76"/>
      <c r="E352" s="76"/>
      <c r="F352" s="43"/>
      <c r="G352" s="43"/>
    </row>
    <row r="353" spans="2:7" ht="13.2">
      <c r="B353" s="43"/>
      <c r="C353" s="43"/>
      <c r="D353" s="76"/>
      <c r="E353" s="76"/>
      <c r="F353" s="43"/>
      <c r="G353" s="43"/>
    </row>
    <row r="354" spans="2:7" ht="13.2">
      <c r="B354" s="43"/>
      <c r="C354" s="43"/>
      <c r="D354" s="76"/>
      <c r="E354" s="76"/>
      <c r="F354" s="43"/>
      <c r="G354" s="43"/>
    </row>
    <row r="355" spans="2:7" ht="13.2">
      <c r="B355" s="43"/>
      <c r="C355" s="43"/>
      <c r="D355" s="76"/>
      <c r="E355" s="76"/>
      <c r="F355" s="43"/>
      <c r="G355" s="43"/>
    </row>
    <row r="356" spans="2:7" ht="13.2">
      <c r="B356" s="43"/>
      <c r="C356" s="43"/>
      <c r="D356" s="76"/>
      <c r="E356" s="76"/>
      <c r="F356" s="43"/>
      <c r="G356" s="43"/>
    </row>
    <row r="357" spans="2:7" ht="13.2">
      <c r="B357" s="43"/>
      <c r="C357" s="43"/>
      <c r="D357" s="76"/>
      <c r="E357" s="76"/>
      <c r="F357" s="43"/>
      <c r="G357" s="43"/>
    </row>
    <row r="358" spans="2:7" ht="13.2">
      <c r="B358" s="43"/>
      <c r="C358" s="43"/>
      <c r="D358" s="76"/>
      <c r="E358" s="76"/>
      <c r="F358" s="43"/>
      <c r="G358" s="43"/>
    </row>
    <row r="359" spans="2:7" ht="13.2">
      <c r="B359" s="43"/>
      <c r="C359" s="43"/>
      <c r="D359" s="76"/>
      <c r="E359" s="76"/>
      <c r="F359" s="43"/>
      <c r="G359" s="43"/>
    </row>
    <row r="360" spans="2:7" ht="13.2">
      <c r="B360" s="43"/>
      <c r="C360" s="43"/>
      <c r="D360" s="76"/>
      <c r="E360" s="76"/>
      <c r="F360" s="43"/>
      <c r="G360" s="43"/>
    </row>
    <row r="361" spans="2:7" ht="13.2">
      <c r="B361" s="43"/>
      <c r="C361" s="43"/>
      <c r="D361" s="76"/>
      <c r="E361" s="76"/>
      <c r="F361" s="43"/>
      <c r="G361" s="43"/>
    </row>
    <row r="362" spans="2:7" ht="13.2">
      <c r="B362" s="43"/>
      <c r="C362" s="43"/>
      <c r="D362" s="76"/>
      <c r="E362" s="76"/>
      <c r="F362" s="43"/>
      <c r="G362" s="43"/>
    </row>
    <row r="363" spans="2:7" ht="13.2">
      <c r="B363" s="43"/>
      <c r="C363" s="43"/>
      <c r="D363" s="76"/>
      <c r="E363" s="76"/>
      <c r="F363" s="43"/>
      <c r="G363" s="43"/>
    </row>
    <row r="364" spans="2:7" ht="13.2">
      <c r="B364" s="43"/>
      <c r="C364" s="43"/>
      <c r="D364" s="76"/>
      <c r="E364" s="76"/>
      <c r="F364" s="43"/>
      <c r="G364" s="43"/>
    </row>
    <row r="365" spans="2:7" ht="13.2">
      <c r="B365" s="43"/>
      <c r="C365" s="43"/>
      <c r="D365" s="76"/>
      <c r="E365" s="76"/>
      <c r="F365" s="43"/>
      <c r="G365" s="43"/>
    </row>
    <row r="366" spans="2:7" ht="13.2">
      <c r="B366" s="43"/>
      <c r="C366" s="43"/>
      <c r="D366" s="76"/>
      <c r="E366" s="76"/>
      <c r="F366" s="43"/>
      <c r="G366" s="43"/>
    </row>
    <row r="367" spans="2:7" ht="13.2">
      <c r="B367" s="43"/>
      <c r="C367" s="43"/>
      <c r="D367" s="76"/>
      <c r="E367" s="76"/>
      <c r="F367" s="43"/>
      <c r="G367" s="43"/>
    </row>
    <row r="368" spans="2:7" ht="13.2">
      <c r="B368" s="43"/>
      <c r="C368" s="43"/>
      <c r="D368" s="76"/>
      <c r="E368" s="76"/>
      <c r="F368" s="43"/>
      <c r="G368" s="43"/>
    </row>
    <row r="369" spans="2:7" ht="13.2">
      <c r="B369" s="43"/>
      <c r="C369" s="43"/>
      <c r="D369" s="76"/>
      <c r="E369" s="76"/>
      <c r="F369" s="43"/>
      <c r="G369" s="43"/>
    </row>
    <row r="370" spans="2:7" ht="13.2">
      <c r="B370" s="43"/>
      <c r="C370" s="43"/>
      <c r="D370" s="76"/>
      <c r="E370" s="76"/>
      <c r="F370" s="43"/>
      <c r="G370" s="43"/>
    </row>
    <row r="371" spans="2:7" ht="13.2">
      <c r="B371" s="43"/>
      <c r="C371" s="43"/>
      <c r="D371" s="76"/>
      <c r="E371" s="76"/>
      <c r="F371" s="43"/>
      <c r="G371" s="43"/>
    </row>
    <row r="372" spans="2:7" ht="13.2">
      <c r="B372" s="43"/>
      <c r="C372" s="43"/>
      <c r="D372" s="76"/>
      <c r="E372" s="76"/>
      <c r="F372" s="43"/>
      <c r="G372" s="43"/>
    </row>
    <row r="373" spans="2:7" ht="13.2">
      <c r="B373" s="43"/>
      <c r="C373" s="43"/>
      <c r="D373" s="76"/>
      <c r="E373" s="76"/>
      <c r="F373" s="43"/>
      <c r="G373" s="43"/>
    </row>
    <row r="374" spans="2:7" ht="13.2">
      <c r="B374" s="43"/>
      <c r="C374" s="43"/>
      <c r="D374" s="76"/>
      <c r="E374" s="76"/>
      <c r="F374" s="43"/>
      <c r="G374" s="43"/>
    </row>
    <row r="375" spans="2:7" ht="13.2">
      <c r="B375" s="43"/>
      <c r="C375" s="43"/>
      <c r="D375" s="76"/>
      <c r="E375" s="76"/>
      <c r="F375" s="43"/>
      <c r="G375" s="43"/>
    </row>
    <row r="376" spans="2:7" ht="13.2">
      <c r="B376" s="43"/>
      <c r="C376" s="43"/>
      <c r="D376" s="76"/>
      <c r="E376" s="76"/>
      <c r="F376" s="43"/>
      <c r="G376" s="43"/>
    </row>
    <row r="377" spans="2:7" ht="13.2">
      <c r="B377" s="43"/>
      <c r="C377" s="43"/>
      <c r="D377" s="76"/>
      <c r="E377" s="76"/>
      <c r="F377" s="43"/>
      <c r="G377" s="43"/>
    </row>
    <row r="378" spans="2:7" ht="13.2">
      <c r="B378" s="43"/>
      <c r="C378" s="43"/>
      <c r="D378" s="76"/>
      <c r="E378" s="76"/>
      <c r="F378" s="43"/>
      <c r="G378" s="43"/>
    </row>
    <row r="379" spans="2:7" ht="13.2">
      <c r="B379" s="43"/>
      <c r="C379" s="43"/>
      <c r="D379" s="76"/>
      <c r="E379" s="76"/>
      <c r="F379" s="43"/>
      <c r="G379" s="43"/>
    </row>
    <row r="380" spans="2:7" ht="13.2">
      <c r="B380" s="43"/>
      <c r="C380" s="43"/>
      <c r="D380" s="76"/>
      <c r="E380" s="76"/>
      <c r="F380" s="43"/>
      <c r="G380" s="43"/>
    </row>
    <row r="381" spans="2:7" ht="13.2">
      <c r="B381" s="43"/>
      <c r="C381" s="43"/>
      <c r="D381" s="76"/>
      <c r="E381" s="76"/>
      <c r="F381" s="43"/>
      <c r="G381" s="43"/>
    </row>
    <row r="382" spans="2:7" ht="13.2">
      <c r="B382" s="43"/>
      <c r="C382" s="43"/>
      <c r="D382" s="76"/>
      <c r="E382" s="76"/>
      <c r="F382" s="43"/>
      <c r="G382" s="43"/>
    </row>
    <row r="383" spans="2:7" ht="13.2">
      <c r="B383" s="43"/>
      <c r="C383" s="43"/>
      <c r="D383" s="76"/>
      <c r="E383" s="76"/>
      <c r="F383" s="43"/>
      <c r="G383" s="43"/>
    </row>
    <row r="384" spans="2:7" ht="13.2">
      <c r="B384" s="43"/>
      <c r="C384" s="43"/>
      <c r="D384" s="76"/>
      <c r="E384" s="76"/>
      <c r="F384" s="43"/>
      <c r="G384" s="43"/>
    </row>
    <row r="385" spans="2:7" ht="13.2">
      <c r="B385" s="43"/>
      <c r="C385" s="43"/>
      <c r="D385" s="76"/>
      <c r="E385" s="76"/>
      <c r="F385" s="43"/>
      <c r="G385" s="43"/>
    </row>
    <row r="386" spans="2:7" ht="13.2">
      <c r="B386" s="43"/>
      <c r="C386" s="43"/>
      <c r="D386" s="76"/>
      <c r="E386" s="76"/>
      <c r="F386" s="43"/>
      <c r="G386" s="43"/>
    </row>
    <row r="387" spans="2:7" ht="13.2">
      <c r="B387" s="43"/>
      <c r="C387" s="43"/>
      <c r="D387" s="76"/>
      <c r="E387" s="76"/>
      <c r="F387" s="43"/>
      <c r="G387" s="43"/>
    </row>
    <row r="388" spans="2:7" ht="13.2">
      <c r="B388" s="43"/>
      <c r="C388" s="43"/>
      <c r="D388" s="76"/>
      <c r="E388" s="76"/>
      <c r="F388" s="43"/>
      <c r="G388" s="43"/>
    </row>
    <row r="389" spans="2:7" ht="13.2">
      <c r="B389" s="43"/>
      <c r="C389" s="43"/>
      <c r="D389" s="76"/>
      <c r="E389" s="76"/>
      <c r="F389" s="43"/>
      <c r="G389" s="43"/>
    </row>
    <row r="390" spans="2:7" ht="13.2">
      <c r="B390" s="43"/>
      <c r="C390" s="43"/>
      <c r="D390" s="76"/>
      <c r="E390" s="76"/>
      <c r="F390" s="43"/>
      <c r="G390" s="43"/>
    </row>
    <row r="391" spans="2:7" ht="13.2">
      <c r="B391" s="43"/>
      <c r="C391" s="43"/>
      <c r="D391" s="76"/>
      <c r="E391" s="76"/>
      <c r="F391" s="43"/>
      <c r="G391" s="43"/>
    </row>
    <row r="392" spans="2:7" ht="13.2">
      <c r="B392" s="43"/>
      <c r="C392" s="43"/>
      <c r="D392" s="76"/>
      <c r="E392" s="76"/>
      <c r="F392" s="43"/>
      <c r="G392" s="43"/>
    </row>
    <row r="393" spans="2:7" ht="13.2">
      <c r="B393" s="43"/>
      <c r="C393" s="43"/>
      <c r="D393" s="76"/>
      <c r="E393" s="76"/>
      <c r="F393" s="43"/>
      <c r="G393" s="43"/>
    </row>
    <row r="394" spans="2:7" ht="13.2">
      <c r="B394" s="43"/>
      <c r="C394" s="43"/>
      <c r="D394" s="76"/>
      <c r="E394" s="76"/>
      <c r="F394" s="43"/>
      <c r="G394" s="43"/>
    </row>
    <row r="395" spans="2:7" ht="13.2">
      <c r="B395" s="43"/>
      <c r="C395" s="43"/>
      <c r="D395" s="76"/>
      <c r="E395" s="76"/>
      <c r="F395" s="43"/>
      <c r="G395" s="43"/>
    </row>
    <row r="396" spans="2:7" ht="13.2">
      <c r="B396" s="43"/>
      <c r="C396" s="43"/>
      <c r="D396" s="76"/>
      <c r="E396" s="76"/>
      <c r="F396" s="43"/>
      <c r="G396" s="43"/>
    </row>
    <row r="397" spans="2:7" ht="13.2">
      <c r="B397" s="43"/>
      <c r="C397" s="43"/>
      <c r="D397" s="76"/>
      <c r="E397" s="76"/>
      <c r="F397" s="43"/>
      <c r="G397" s="43"/>
    </row>
    <row r="398" spans="2:7" ht="13.2">
      <c r="B398" s="43"/>
      <c r="C398" s="43"/>
      <c r="D398" s="76"/>
      <c r="E398" s="76"/>
      <c r="F398" s="43"/>
      <c r="G398" s="43"/>
    </row>
    <row r="399" spans="2:7" ht="13.2">
      <c r="B399" s="43"/>
      <c r="C399" s="43"/>
      <c r="D399" s="76"/>
      <c r="E399" s="76"/>
      <c r="F399" s="43"/>
      <c r="G399" s="43"/>
    </row>
    <row r="400" spans="2:7" ht="13.2">
      <c r="B400" s="43"/>
      <c r="C400" s="43"/>
      <c r="D400" s="76"/>
      <c r="E400" s="76"/>
      <c r="F400" s="43"/>
      <c r="G400" s="43"/>
    </row>
    <row r="401" spans="2:7" ht="13.2">
      <c r="B401" s="43"/>
      <c r="C401" s="43"/>
      <c r="D401" s="76"/>
      <c r="E401" s="76"/>
      <c r="F401" s="43"/>
      <c r="G401" s="43"/>
    </row>
    <row r="402" spans="2:7" ht="13.2">
      <c r="B402" s="43"/>
      <c r="C402" s="43"/>
      <c r="D402" s="76"/>
      <c r="E402" s="76"/>
      <c r="F402" s="43"/>
      <c r="G402" s="43"/>
    </row>
    <row r="403" spans="2:7" ht="13.2">
      <c r="B403" s="43"/>
      <c r="C403" s="43"/>
      <c r="D403" s="76"/>
      <c r="E403" s="76"/>
      <c r="F403" s="43"/>
      <c r="G403" s="43"/>
    </row>
    <row r="404" spans="2:7" ht="13.2">
      <c r="B404" s="43"/>
      <c r="C404" s="43"/>
      <c r="D404" s="76"/>
      <c r="E404" s="76"/>
      <c r="F404" s="43"/>
      <c r="G404" s="43"/>
    </row>
    <row r="405" spans="2:7" ht="13.2">
      <c r="B405" s="43"/>
      <c r="C405" s="43"/>
      <c r="D405" s="76"/>
      <c r="E405" s="76"/>
      <c r="F405" s="43"/>
      <c r="G405" s="43"/>
    </row>
    <row r="406" spans="2:7" ht="13.2">
      <c r="B406" s="43"/>
      <c r="C406" s="43"/>
      <c r="D406" s="76"/>
      <c r="E406" s="76"/>
      <c r="F406" s="43"/>
      <c r="G406" s="43"/>
    </row>
    <row r="407" spans="2:7" ht="13.2">
      <c r="B407" s="43"/>
      <c r="C407" s="43"/>
      <c r="D407" s="76"/>
      <c r="E407" s="76"/>
      <c r="F407" s="43"/>
      <c r="G407" s="43"/>
    </row>
    <row r="408" spans="2:7" ht="13.2">
      <c r="B408" s="43"/>
      <c r="C408" s="43"/>
      <c r="D408" s="76"/>
      <c r="E408" s="76"/>
      <c r="F408" s="43"/>
      <c r="G408" s="43"/>
    </row>
    <row r="409" spans="2:7" ht="13.2">
      <c r="B409" s="43"/>
      <c r="C409" s="43"/>
      <c r="D409" s="76"/>
      <c r="E409" s="76"/>
      <c r="F409" s="43"/>
      <c r="G409" s="43"/>
    </row>
    <row r="410" spans="2:7" ht="13.2">
      <c r="B410" s="43"/>
      <c r="C410" s="43"/>
      <c r="D410" s="76"/>
      <c r="E410" s="76"/>
      <c r="F410" s="43"/>
      <c r="G410" s="43"/>
    </row>
    <row r="411" spans="2:7" ht="13.2">
      <c r="B411" s="43"/>
      <c r="C411" s="43"/>
      <c r="D411" s="76"/>
      <c r="E411" s="76"/>
      <c r="F411" s="43"/>
      <c r="G411" s="43"/>
    </row>
    <row r="412" spans="2:7" ht="13.2">
      <c r="B412" s="43"/>
      <c r="C412" s="43"/>
      <c r="D412" s="76"/>
      <c r="E412" s="76"/>
      <c r="F412" s="43"/>
      <c r="G412" s="43"/>
    </row>
    <row r="413" spans="2:7" ht="13.2">
      <c r="B413" s="43"/>
      <c r="C413" s="43"/>
      <c r="D413" s="76"/>
      <c r="E413" s="76"/>
      <c r="F413" s="43"/>
      <c r="G413" s="43"/>
    </row>
    <row r="414" spans="2:7" ht="13.2">
      <c r="B414" s="43"/>
      <c r="C414" s="43"/>
      <c r="D414" s="76"/>
      <c r="E414" s="76"/>
      <c r="F414" s="43"/>
      <c r="G414" s="43"/>
    </row>
    <row r="415" spans="2:7" ht="13.2">
      <c r="B415" s="43"/>
      <c r="C415" s="43"/>
      <c r="D415" s="76"/>
      <c r="E415" s="76"/>
      <c r="F415" s="43"/>
      <c r="G415" s="43"/>
    </row>
    <row r="416" spans="2:7" ht="13.2">
      <c r="B416" s="43"/>
      <c r="C416" s="43"/>
      <c r="D416" s="76"/>
      <c r="E416" s="76"/>
      <c r="F416" s="43"/>
      <c r="G416" s="43"/>
    </row>
    <row r="417" spans="2:7" ht="13.2">
      <c r="B417" s="43"/>
      <c r="C417" s="43"/>
      <c r="D417" s="76"/>
      <c r="E417" s="76"/>
      <c r="F417" s="43"/>
      <c r="G417" s="43"/>
    </row>
    <row r="418" spans="2:7" ht="13.2">
      <c r="B418" s="43"/>
      <c r="C418" s="43"/>
      <c r="D418" s="76"/>
      <c r="E418" s="76"/>
      <c r="F418" s="43"/>
      <c r="G418" s="43"/>
    </row>
    <row r="419" spans="2:7" ht="13.2">
      <c r="B419" s="43"/>
      <c r="C419" s="43"/>
      <c r="D419" s="76"/>
      <c r="E419" s="76"/>
      <c r="F419" s="43"/>
      <c r="G419" s="43"/>
    </row>
    <row r="420" spans="2:7" ht="13.2">
      <c r="B420" s="43"/>
      <c r="C420" s="43"/>
      <c r="D420" s="76"/>
      <c r="E420" s="76"/>
      <c r="F420" s="43"/>
      <c r="G420" s="43"/>
    </row>
    <row r="421" spans="2:7" ht="13.2">
      <c r="B421" s="43"/>
      <c r="C421" s="43"/>
      <c r="D421" s="76"/>
      <c r="E421" s="76"/>
      <c r="F421" s="43"/>
      <c r="G421" s="43"/>
    </row>
    <row r="422" spans="2:7" ht="13.2">
      <c r="B422" s="43"/>
      <c r="C422" s="43"/>
      <c r="D422" s="76"/>
      <c r="E422" s="76"/>
      <c r="F422" s="43"/>
      <c r="G422" s="43"/>
    </row>
    <row r="423" spans="2:7" ht="13.2">
      <c r="B423" s="43"/>
      <c r="C423" s="43"/>
      <c r="D423" s="76"/>
      <c r="E423" s="76"/>
      <c r="F423" s="43"/>
      <c r="G423" s="43"/>
    </row>
    <row r="424" spans="2:7" ht="13.2">
      <c r="B424" s="43"/>
      <c r="C424" s="43"/>
      <c r="D424" s="76"/>
      <c r="E424" s="76"/>
      <c r="F424" s="43"/>
      <c r="G424" s="43"/>
    </row>
    <row r="425" spans="2:7" ht="13.2">
      <c r="B425" s="43"/>
      <c r="C425" s="43"/>
      <c r="D425" s="76"/>
      <c r="E425" s="76"/>
      <c r="F425" s="43"/>
      <c r="G425" s="43"/>
    </row>
    <row r="426" spans="2:7" ht="13.2">
      <c r="B426" s="43"/>
      <c r="C426" s="43"/>
      <c r="D426" s="76"/>
      <c r="E426" s="76"/>
      <c r="F426" s="43"/>
      <c r="G426" s="43"/>
    </row>
    <row r="427" spans="2:7" ht="13.2">
      <c r="B427" s="43"/>
      <c r="C427" s="43"/>
      <c r="D427" s="76"/>
      <c r="E427" s="76"/>
      <c r="F427" s="43"/>
      <c r="G427" s="43"/>
    </row>
    <row r="428" spans="2:7" ht="13.2">
      <c r="B428" s="43"/>
      <c r="C428" s="43"/>
      <c r="D428" s="76"/>
      <c r="E428" s="76"/>
      <c r="F428" s="43"/>
      <c r="G428" s="43"/>
    </row>
    <row r="429" spans="2:7" ht="13.2">
      <c r="B429" s="43"/>
      <c r="C429" s="43"/>
      <c r="D429" s="76"/>
      <c r="E429" s="76"/>
      <c r="F429" s="43"/>
      <c r="G429" s="43"/>
    </row>
    <row r="430" spans="2:7" ht="13.2">
      <c r="B430" s="43"/>
      <c r="C430" s="43"/>
      <c r="D430" s="76"/>
      <c r="E430" s="76"/>
      <c r="F430" s="43"/>
      <c r="G430" s="43"/>
    </row>
    <row r="431" spans="2:7" ht="13.2">
      <c r="B431" s="43"/>
      <c r="C431" s="43"/>
      <c r="D431" s="76"/>
      <c r="E431" s="76"/>
      <c r="F431" s="43"/>
      <c r="G431" s="43"/>
    </row>
    <row r="432" spans="2:7" ht="13.2">
      <c r="B432" s="43"/>
      <c r="C432" s="43"/>
      <c r="D432" s="76"/>
      <c r="E432" s="76"/>
      <c r="F432" s="43"/>
      <c r="G432" s="43"/>
    </row>
    <row r="433" spans="2:7" ht="13.2">
      <c r="B433" s="43"/>
      <c r="C433" s="43"/>
      <c r="D433" s="76"/>
      <c r="E433" s="76"/>
      <c r="F433" s="43"/>
      <c r="G433" s="43"/>
    </row>
    <row r="434" spans="2:7" ht="13.2">
      <c r="B434" s="43"/>
      <c r="C434" s="43"/>
      <c r="D434" s="76"/>
      <c r="E434" s="76"/>
      <c r="F434" s="43"/>
      <c r="G434" s="43"/>
    </row>
    <row r="435" spans="2:7" ht="13.2">
      <c r="B435" s="43"/>
      <c r="C435" s="43"/>
      <c r="D435" s="76"/>
      <c r="E435" s="76"/>
      <c r="F435" s="43"/>
      <c r="G435" s="43"/>
    </row>
    <row r="436" spans="2:7" ht="13.2">
      <c r="B436" s="43"/>
      <c r="C436" s="43"/>
      <c r="D436" s="76"/>
      <c r="E436" s="76"/>
      <c r="F436" s="43"/>
      <c r="G436" s="43"/>
    </row>
    <row r="437" spans="2:7" ht="13.2">
      <c r="B437" s="43"/>
      <c r="C437" s="43"/>
      <c r="D437" s="76"/>
      <c r="E437" s="76"/>
      <c r="F437" s="43"/>
      <c r="G437" s="43"/>
    </row>
    <row r="438" spans="2:7" ht="13.2">
      <c r="B438" s="43"/>
      <c r="C438" s="43"/>
      <c r="D438" s="76"/>
      <c r="E438" s="76"/>
      <c r="F438" s="43"/>
      <c r="G438" s="43"/>
    </row>
    <row r="439" spans="2:7" ht="13.2">
      <c r="B439" s="43"/>
      <c r="C439" s="43"/>
      <c r="D439" s="76"/>
      <c r="E439" s="76"/>
      <c r="F439" s="43"/>
      <c r="G439" s="43"/>
    </row>
    <row r="440" spans="2:7" ht="13.2">
      <c r="B440" s="43"/>
      <c r="C440" s="43"/>
      <c r="D440" s="76"/>
      <c r="E440" s="76"/>
      <c r="F440" s="43"/>
      <c r="G440" s="43"/>
    </row>
    <row r="441" spans="2:7" ht="13.2">
      <c r="B441" s="43"/>
      <c r="C441" s="43"/>
      <c r="D441" s="76"/>
      <c r="E441" s="76"/>
      <c r="F441" s="43"/>
      <c r="G441" s="43"/>
    </row>
    <row r="442" spans="2:7" ht="13.2">
      <c r="B442" s="43"/>
      <c r="C442" s="43"/>
      <c r="D442" s="76"/>
      <c r="E442" s="76"/>
      <c r="F442" s="43"/>
      <c r="G442" s="43"/>
    </row>
    <row r="443" spans="2:7" ht="13.2">
      <c r="B443" s="43"/>
      <c r="C443" s="43"/>
      <c r="D443" s="76"/>
      <c r="E443" s="76"/>
      <c r="F443" s="43"/>
      <c r="G443" s="43"/>
    </row>
    <row r="444" spans="2:7" ht="13.2">
      <c r="B444" s="43"/>
      <c r="C444" s="43"/>
      <c r="D444" s="76"/>
      <c r="E444" s="76"/>
      <c r="F444" s="43"/>
      <c r="G444" s="43"/>
    </row>
    <row r="445" spans="2:7" ht="13.2">
      <c r="B445" s="43"/>
      <c r="C445" s="43"/>
      <c r="D445" s="76"/>
      <c r="E445" s="76"/>
      <c r="F445" s="43"/>
      <c r="G445" s="43"/>
    </row>
    <row r="446" spans="2:7" ht="13.2">
      <c r="B446" s="43"/>
      <c r="C446" s="43"/>
      <c r="D446" s="76"/>
      <c r="E446" s="76"/>
      <c r="F446" s="43"/>
      <c r="G446" s="43"/>
    </row>
    <row r="447" spans="2:7" ht="13.2">
      <c r="B447" s="43"/>
      <c r="C447" s="43"/>
      <c r="D447" s="76"/>
      <c r="E447" s="76"/>
      <c r="F447" s="43"/>
      <c r="G447" s="43"/>
    </row>
    <row r="448" spans="2:7" ht="13.2">
      <c r="B448" s="43"/>
      <c r="C448" s="43"/>
      <c r="D448" s="76"/>
      <c r="E448" s="76"/>
      <c r="F448" s="43"/>
      <c r="G448" s="43"/>
    </row>
    <row r="449" spans="2:7" ht="13.2">
      <c r="B449" s="43"/>
      <c r="C449" s="43"/>
      <c r="D449" s="76"/>
      <c r="E449" s="76"/>
      <c r="F449" s="43"/>
      <c r="G449" s="43"/>
    </row>
    <row r="450" spans="2:7" ht="13.2">
      <c r="B450" s="43"/>
      <c r="C450" s="43"/>
      <c r="D450" s="76"/>
      <c r="E450" s="76"/>
      <c r="F450" s="43"/>
      <c r="G450" s="43"/>
    </row>
    <row r="451" spans="2:7" ht="13.2">
      <c r="B451" s="43"/>
      <c r="C451" s="43"/>
      <c r="D451" s="76"/>
      <c r="E451" s="76"/>
      <c r="F451" s="43"/>
      <c r="G451" s="43"/>
    </row>
    <row r="452" spans="2:7" ht="13.2">
      <c r="B452" s="43"/>
      <c r="C452" s="43"/>
      <c r="D452" s="76"/>
      <c r="E452" s="76"/>
      <c r="F452" s="43"/>
      <c r="G452" s="43"/>
    </row>
    <row r="453" spans="2:7" ht="13.2">
      <c r="B453" s="43"/>
      <c r="C453" s="43"/>
      <c r="D453" s="76"/>
      <c r="E453" s="76"/>
      <c r="F453" s="43"/>
      <c r="G453" s="43"/>
    </row>
    <row r="454" spans="2:7" ht="13.2">
      <c r="B454" s="43"/>
      <c r="C454" s="43"/>
      <c r="D454" s="76"/>
      <c r="E454" s="76"/>
      <c r="F454" s="43"/>
      <c r="G454" s="43"/>
    </row>
    <row r="455" spans="2:7" ht="13.2">
      <c r="B455" s="43"/>
      <c r="C455" s="43"/>
      <c r="D455" s="76"/>
      <c r="E455" s="76"/>
      <c r="F455" s="43"/>
      <c r="G455" s="43"/>
    </row>
    <row r="456" spans="2:7" ht="13.2">
      <c r="B456" s="43"/>
      <c r="C456" s="43"/>
      <c r="D456" s="76"/>
      <c r="E456" s="76"/>
      <c r="F456" s="43"/>
      <c r="G456" s="43"/>
    </row>
    <row r="457" spans="2:7" ht="13.2">
      <c r="B457" s="43"/>
      <c r="C457" s="43"/>
      <c r="D457" s="76"/>
      <c r="E457" s="76"/>
      <c r="F457" s="43"/>
      <c r="G457" s="43"/>
    </row>
    <row r="458" spans="2:7" ht="13.2">
      <c r="B458" s="43"/>
      <c r="C458" s="43"/>
      <c r="D458" s="76"/>
      <c r="E458" s="76"/>
      <c r="F458" s="43"/>
      <c r="G458" s="43"/>
    </row>
    <row r="459" spans="2:7" ht="13.2">
      <c r="B459" s="43"/>
      <c r="C459" s="43"/>
      <c r="D459" s="76"/>
      <c r="E459" s="76"/>
      <c r="F459" s="43"/>
      <c r="G459" s="43"/>
    </row>
    <row r="460" spans="2:7" ht="13.2">
      <c r="B460" s="43"/>
      <c r="C460" s="43"/>
      <c r="D460" s="76"/>
      <c r="E460" s="76"/>
      <c r="F460" s="43"/>
      <c r="G460" s="43"/>
    </row>
    <row r="461" spans="2:7" ht="13.2">
      <c r="B461" s="43"/>
      <c r="C461" s="43"/>
      <c r="D461" s="76"/>
      <c r="E461" s="76"/>
      <c r="F461" s="43"/>
      <c r="G461" s="43"/>
    </row>
    <row r="462" spans="2:7" ht="13.2">
      <c r="B462" s="43"/>
      <c r="C462" s="43"/>
      <c r="D462" s="76"/>
      <c r="E462" s="76"/>
      <c r="F462" s="43"/>
      <c r="G462" s="43"/>
    </row>
    <row r="463" spans="2:7" ht="13.2">
      <c r="B463" s="43"/>
      <c r="C463" s="43"/>
      <c r="D463" s="76"/>
      <c r="E463" s="76"/>
      <c r="F463" s="43"/>
      <c r="G463" s="43"/>
    </row>
    <row r="464" spans="2:7" ht="13.2">
      <c r="B464" s="43"/>
      <c r="C464" s="43"/>
      <c r="D464" s="76"/>
      <c r="E464" s="76"/>
      <c r="F464" s="43"/>
      <c r="G464" s="43"/>
    </row>
    <row r="465" spans="2:7" ht="13.2">
      <c r="B465" s="43"/>
      <c r="C465" s="43"/>
      <c r="D465" s="76"/>
      <c r="E465" s="76"/>
      <c r="F465" s="43"/>
      <c r="G465" s="43"/>
    </row>
    <row r="466" spans="2:7" ht="13.2">
      <c r="B466" s="43"/>
      <c r="C466" s="43"/>
      <c r="D466" s="76"/>
      <c r="E466" s="76"/>
      <c r="F466" s="43"/>
      <c r="G466" s="43"/>
    </row>
    <row r="467" spans="2:7" ht="13.2">
      <c r="B467" s="43"/>
      <c r="C467" s="43"/>
      <c r="D467" s="76"/>
      <c r="E467" s="76"/>
      <c r="F467" s="43"/>
      <c r="G467" s="43"/>
    </row>
    <row r="468" spans="2:7" ht="13.2">
      <c r="B468" s="43"/>
      <c r="C468" s="43"/>
      <c r="D468" s="76"/>
      <c r="E468" s="76"/>
      <c r="F468" s="43"/>
      <c r="G468" s="43"/>
    </row>
    <row r="469" spans="2:7" ht="13.2">
      <c r="B469" s="43"/>
      <c r="C469" s="43"/>
      <c r="D469" s="76"/>
      <c r="E469" s="76"/>
      <c r="F469" s="43"/>
      <c r="G469" s="43"/>
    </row>
    <row r="470" spans="2:7" ht="13.2">
      <c r="B470" s="43"/>
      <c r="C470" s="43"/>
      <c r="D470" s="76"/>
      <c r="E470" s="76"/>
      <c r="F470" s="43"/>
      <c r="G470" s="43"/>
    </row>
    <row r="471" spans="2:7" ht="13.2">
      <c r="B471" s="43"/>
      <c r="C471" s="43"/>
      <c r="D471" s="76"/>
      <c r="E471" s="76"/>
      <c r="F471" s="43"/>
      <c r="G471" s="43"/>
    </row>
    <row r="472" spans="2:7" ht="13.2">
      <c r="B472" s="43"/>
      <c r="C472" s="43"/>
      <c r="D472" s="76"/>
      <c r="E472" s="76"/>
      <c r="F472" s="43"/>
      <c r="G472" s="43"/>
    </row>
    <row r="473" spans="2:7" ht="13.2">
      <c r="B473" s="43"/>
      <c r="C473" s="43"/>
      <c r="D473" s="76"/>
      <c r="E473" s="76"/>
      <c r="F473" s="43"/>
      <c r="G473" s="43"/>
    </row>
    <row r="474" spans="2:7" ht="13.2">
      <c r="B474" s="43"/>
      <c r="C474" s="43"/>
      <c r="D474" s="76"/>
      <c r="E474" s="76"/>
      <c r="F474" s="43"/>
      <c r="G474" s="43"/>
    </row>
    <row r="475" spans="2:7" ht="13.2">
      <c r="B475" s="43"/>
      <c r="C475" s="43"/>
      <c r="D475" s="76"/>
      <c r="E475" s="76"/>
      <c r="F475" s="43"/>
      <c r="G475" s="43"/>
    </row>
    <row r="476" spans="2:7" ht="13.2">
      <c r="B476" s="43"/>
      <c r="C476" s="43"/>
      <c r="D476" s="76"/>
      <c r="E476" s="76"/>
      <c r="F476" s="43"/>
      <c r="G476" s="43"/>
    </row>
    <row r="477" spans="2:7" ht="13.2">
      <c r="B477" s="43"/>
      <c r="C477" s="43"/>
      <c r="D477" s="76"/>
      <c r="E477" s="76"/>
      <c r="F477" s="43"/>
      <c r="G477" s="43"/>
    </row>
    <row r="478" spans="2:7" ht="13.2">
      <c r="B478" s="43"/>
      <c r="C478" s="43"/>
      <c r="D478" s="76"/>
      <c r="E478" s="76"/>
      <c r="F478" s="43"/>
      <c r="G478" s="43"/>
    </row>
    <row r="479" spans="2:7" ht="13.2">
      <c r="B479" s="43"/>
      <c r="C479" s="43"/>
      <c r="D479" s="76"/>
      <c r="E479" s="76"/>
      <c r="F479" s="43"/>
      <c r="G479" s="43"/>
    </row>
    <row r="480" spans="2:7" ht="13.2">
      <c r="B480" s="43"/>
      <c r="C480" s="43"/>
      <c r="D480" s="76"/>
      <c r="E480" s="76"/>
      <c r="F480" s="43"/>
      <c r="G480" s="43"/>
    </row>
    <row r="481" spans="2:7" ht="13.2">
      <c r="B481" s="43"/>
      <c r="C481" s="43"/>
      <c r="D481" s="76"/>
      <c r="E481" s="76"/>
      <c r="F481" s="43"/>
      <c r="G481" s="43"/>
    </row>
    <row r="482" spans="2:7" ht="13.2">
      <c r="B482" s="43"/>
      <c r="C482" s="43"/>
      <c r="D482" s="76"/>
      <c r="E482" s="76"/>
      <c r="F482" s="43"/>
      <c r="G482" s="43"/>
    </row>
    <row r="483" spans="2:7" ht="13.2">
      <c r="B483" s="43"/>
      <c r="C483" s="43"/>
      <c r="D483" s="76"/>
      <c r="E483" s="76"/>
      <c r="F483" s="43"/>
      <c r="G483" s="43"/>
    </row>
    <row r="484" spans="2:7" ht="13.2">
      <c r="B484" s="43"/>
      <c r="C484" s="43"/>
      <c r="D484" s="76"/>
      <c r="E484" s="76"/>
      <c r="F484" s="43"/>
      <c r="G484" s="43"/>
    </row>
    <row r="485" spans="2:7" ht="13.2">
      <c r="B485" s="43"/>
      <c r="C485" s="43"/>
      <c r="D485" s="76"/>
      <c r="E485" s="76"/>
      <c r="F485" s="43"/>
      <c r="G485" s="43"/>
    </row>
    <row r="486" spans="2:7" ht="13.2">
      <c r="B486" s="43"/>
      <c r="C486" s="43"/>
      <c r="D486" s="76"/>
      <c r="E486" s="76"/>
      <c r="F486" s="43"/>
      <c r="G486" s="43"/>
    </row>
    <row r="487" spans="2:7" ht="13.2">
      <c r="B487" s="43"/>
      <c r="C487" s="43"/>
      <c r="D487" s="76"/>
      <c r="E487" s="76"/>
      <c r="F487" s="43"/>
      <c r="G487" s="43"/>
    </row>
    <row r="488" spans="2:7" ht="13.2">
      <c r="B488" s="43"/>
      <c r="C488" s="43"/>
      <c r="D488" s="76"/>
      <c r="E488" s="76"/>
      <c r="F488" s="43"/>
      <c r="G488" s="43"/>
    </row>
    <row r="489" spans="2:7" ht="13.2">
      <c r="B489" s="43"/>
      <c r="C489" s="43"/>
      <c r="D489" s="76"/>
      <c r="E489" s="76"/>
      <c r="F489" s="43"/>
      <c r="G489" s="43"/>
    </row>
    <row r="490" spans="2:7" ht="13.2">
      <c r="B490" s="43"/>
      <c r="C490" s="43"/>
      <c r="D490" s="76"/>
      <c r="E490" s="76"/>
      <c r="F490" s="43"/>
      <c r="G490" s="43"/>
    </row>
    <row r="491" spans="2:7" ht="13.2">
      <c r="B491" s="43"/>
      <c r="C491" s="43"/>
      <c r="D491" s="76"/>
      <c r="E491" s="76"/>
      <c r="F491" s="43"/>
      <c r="G491" s="43"/>
    </row>
    <row r="492" spans="2:7" ht="13.2">
      <c r="B492" s="43"/>
      <c r="C492" s="43"/>
      <c r="D492" s="76"/>
      <c r="E492" s="76"/>
      <c r="F492" s="43"/>
      <c r="G492" s="43"/>
    </row>
    <row r="493" spans="2:7" ht="13.2">
      <c r="B493" s="43"/>
      <c r="C493" s="43"/>
      <c r="D493" s="76"/>
      <c r="E493" s="76"/>
      <c r="F493" s="43"/>
      <c r="G493" s="43"/>
    </row>
    <row r="494" spans="2:7" ht="13.2">
      <c r="B494" s="43"/>
      <c r="C494" s="43"/>
      <c r="D494" s="76"/>
      <c r="E494" s="76"/>
      <c r="F494" s="43"/>
      <c r="G494" s="43"/>
    </row>
    <row r="495" spans="2:7" ht="13.2">
      <c r="B495" s="43"/>
      <c r="C495" s="43"/>
      <c r="D495" s="76"/>
      <c r="E495" s="76"/>
      <c r="F495" s="43"/>
      <c r="G495" s="43"/>
    </row>
    <row r="496" spans="2:7" ht="13.2">
      <c r="B496" s="43"/>
      <c r="C496" s="43"/>
      <c r="D496" s="76"/>
      <c r="E496" s="76"/>
      <c r="F496" s="43"/>
      <c r="G496" s="43"/>
    </row>
    <row r="497" spans="2:7" ht="13.2">
      <c r="B497" s="43"/>
      <c r="C497" s="43"/>
      <c r="D497" s="76"/>
      <c r="E497" s="76"/>
      <c r="F497" s="43"/>
      <c r="G497" s="43"/>
    </row>
    <row r="498" spans="2:7" ht="13.2">
      <c r="B498" s="43"/>
      <c r="C498" s="43"/>
      <c r="D498" s="76"/>
      <c r="E498" s="76"/>
      <c r="F498" s="43"/>
      <c r="G498" s="43"/>
    </row>
    <row r="499" spans="2:7" ht="13.2">
      <c r="B499" s="43"/>
      <c r="C499" s="43"/>
      <c r="D499" s="76"/>
      <c r="E499" s="76"/>
      <c r="F499" s="43"/>
      <c r="G499" s="43"/>
    </row>
    <row r="500" spans="2:7" ht="13.2">
      <c r="B500" s="43"/>
      <c r="C500" s="43"/>
      <c r="D500" s="76"/>
      <c r="E500" s="76"/>
      <c r="F500" s="43"/>
      <c r="G500" s="43"/>
    </row>
    <row r="501" spans="2:7" ht="13.2">
      <c r="B501" s="43"/>
      <c r="C501" s="43"/>
      <c r="D501" s="76"/>
      <c r="E501" s="76"/>
      <c r="F501" s="43"/>
      <c r="G501" s="43"/>
    </row>
    <row r="502" spans="2:7" ht="13.2">
      <c r="B502" s="43"/>
      <c r="C502" s="43"/>
      <c r="D502" s="76"/>
      <c r="E502" s="76"/>
      <c r="F502" s="43"/>
      <c r="G502" s="43"/>
    </row>
    <row r="503" spans="2:7" ht="13.2">
      <c r="B503" s="43"/>
      <c r="C503" s="43"/>
      <c r="D503" s="76"/>
      <c r="E503" s="76"/>
      <c r="F503" s="43"/>
      <c r="G503" s="43"/>
    </row>
    <row r="504" spans="2:7" ht="13.2">
      <c r="B504" s="43"/>
      <c r="C504" s="43"/>
      <c r="D504" s="76"/>
      <c r="E504" s="76"/>
      <c r="F504" s="43"/>
      <c r="G504" s="43"/>
    </row>
    <row r="505" spans="2:7" ht="13.2">
      <c r="B505" s="43"/>
      <c r="C505" s="43"/>
      <c r="D505" s="76"/>
      <c r="E505" s="76"/>
      <c r="F505" s="43"/>
      <c r="G505" s="43"/>
    </row>
    <row r="506" spans="2:7" ht="13.2">
      <c r="B506" s="43"/>
      <c r="C506" s="43"/>
      <c r="D506" s="76"/>
      <c r="E506" s="76"/>
      <c r="F506" s="43"/>
      <c r="G506" s="43"/>
    </row>
    <row r="507" spans="2:7" ht="13.2">
      <c r="B507" s="43"/>
      <c r="C507" s="43"/>
      <c r="D507" s="76"/>
      <c r="E507" s="76"/>
      <c r="F507" s="43"/>
      <c r="G507" s="43"/>
    </row>
    <row r="508" spans="2:7" ht="13.2">
      <c r="B508" s="43"/>
      <c r="C508" s="43"/>
      <c r="D508" s="76"/>
      <c r="E508" s="76"/>
      <c r="F508" s="43"/>
      <c r="G508" s="43"/>
    </row>
    <row r="509" spans="2:7" ht="13.2">
      <c r="B509" s="43"/>
      <c r="C509" s="43"/>
      <c r="D509" s="76"/>
      <c r="E509" s="76"/>
      <c r="F509" s="43"/>
      <c r="G509" s="43"/>
    </row>
    <row r="510" spans="2:7" ht="13.2">
      <c r="B510" s="43"/>
      <c r="C510" s="43"/>
      <c r="D510" s="76"/>
      <c r="E510" s="76"/>
      <c r="F510" s="43"/>
      <c r="G510" s="43"/>
    </row>
    <row r="511" spans="2:7" ht="13.2">
      <c r="B511" s="43"/>
      <c r="C511" s="43"/>
      <c r="D511" s="76"/>
      <c r="E511" s="76"/>
      <c r="F511" s="43"/>
      <c r="G511" s="43"/>
    </row>
    <row r="512" spans="2:7" ht="13.2">
      <c r="B512" s="43"/>
      <c r="C512" s="43"/>
      <c r="D512" s="76"/>
      <c r="E512" s="76"/>
      <c r="F512" s="43"/>
      <c r="G512" s="43"/>
    </row>
    <row r="513" spans="2:7" ht="13.2">
      <c r="B513" s="43"/>
      <c r="C513" s="43"/>
      <c r="D513" s="76"/>
      <c r="E513" s="76"/>
      <c r="F513" s="43"/>
      <c r="G513" s="43"/>
    </row>
    <row r="514" spans="2:7" ht="13.2">
      <c r="B514" s="43"/>
      <c r="C514" s="43"/>
      <c r="D514" s="76"/>
      <c r="E514" s="76"/>
      <c r="F514" s="43"/>
      <c r="G514" s="43"/>
    </row>
    <row r="515" spans="2:7" ht="13.2">
      <c r="B515" s="43"/>
      <c r="C515" s="43"/>
      <c r="D515" s="76"/>
      <c r="E515" s="76"/>
      <c r="F515" s="43"/>
      <c r="G515" s="43"/>
    </row>
    <row r="516" spans="2:7" ht="13.2">
      <c r="B516" s="43"/>
      <c r="C516" s="43"/>
      <c r="D516" s="76"/>
      <c r="E516" s="76"/>
      <c r="F516" s="43"/>
      <c r="G516" s="43"/>
    </row>
    <row r="517" spans="2:7" ht="13.2">
      <c r="B517" s="43"/>
      <c r="C517" s="43"/>
      <c r="D517" s="76"/>
      <c r="E517" s="76"/>
      <c r="F517" s="43"/>
      <c r="G517" s="43"/>
    </row>
    <row r="518" spans="2:7" ht="13.2">
      <c r="B518" s="43"/>
      <c r="C518" s="43"/>
      <c r="D518" s="76"/>
      <c r="E518" s="76"/>
      <c r="F518" s="43"/>
      <c r="G518" s="43"/>
    </row>
    <row r="519" spans="2:7" ht="13.2">
      <c r="B519" s="43"/>
      <c r="C519" s="43"/>
      <c r="D519" s="76"/>
      <c r="E519" s="76"/>
      <c r="F519" s="43"/>
      <c r="G519" s="43"/>
    </row>
    <row r="520" spans="2:7" ht="13.2">
      <c r="B520" s="43"/>
      <c r="C520" s="43"/>
      <c r="D520" s="76"/>
      <c r="E520" s="76"/>
      <c r="F520" s="43"/>
      <c r="G520" s="43"/>
    </row>
    <row r="521" spans="2:7" ht="13.2">
      <c r="B521" s="43"/>
      <c r="C521" s="43"/>
      <c r="D521" s="76"/>
      <c r="E521" s="76"/>
      <c r="F521" s="43"/>
      <c r="G521" s="43"/>
    </row>
    <row r="522" spans="2:7" ht="13.2">
      <c r="B522" s="43"/>
      <c r="C522" s="43"/>
      <c r="D522" s="76"/>
      <c r="E522" s="76"/>
      <c r="F522" s="43"/>
      <c r="G522" s="43"/>
    </row>
    <row r="523" spans="2:7" ht="13.2">
      <c r="B523" s="43"/>
      <c r="C523" s="43"/>
      <c r="D523" s="76"/>
      <c r="E523" s="76"/>
      <c r="F523" s="43"/>
      <c r="G523" s="43"/>
    </row>
    <row r="524" spans="2:7" ht="13.2">
      <c r="B524" s="43"/>
      <c r="C524" s="43"/>
      <c r="D524" s="76"/>
      <c r="E524" s="76"/>
      <c r="F524" s="43"/>
      <c r="G524" s="43"/>
    </row>
    <row r="525" spans="2:7" ht="13.2">
      <c r="B525" s="43"/>
      <c r="C525" s="43"/>
      <c r="D525" s="76"/>
      <c r="E525" s="76"/>
      <c r="F525" s="43"/>
      <c r="G525" s="43"/>
    </row>
    <row r="526" spans="2:7" ht="13.2">
      <c r="B526" s="43"/>
      <c r="C526" s="43"/>
      <c r="D526" s="76"/>
      <c r="E526" s="76"/>
      <c r="F526" s="43"/>
      <c r="G526" s="43"/>
    </row>
    <row r="527" spans="2:7" ht="13.2">
      <c r="B527" s="43"/>
      <c r="C527" s="43"/>
      <c r="D527" s="76"/>
      <c r="E527" s="76"/>
      <c r="F527" s="43"/>
      <c r="G527" s="43"/>
    </row>
    <row r="528" spans="2:7" ht="13.2">
      <c r="B528" s="43"/>
      <c r="C528" s="43"/>
      <c r="D528" s="76"/>
      <c r="E528" s="76"/>
      <c r="F528" s="43"/>
      <c r="G528" s="43"/>
    </row>
    <row r="529" spans="2:7" ht="13.2">
      <c r="B529" s="43"/>
      <c r="C529" s="43"/>
      <c r="D529" s="76"/>
      <c r="E529" s="76"/>
      <c r="F529" s="43"/>
      <c r="G529" s="43"/>
    </row>
    <row r="530" spans="2:7" ht="13.2">
      <c r="B530" s="43"/>
      <c r="C530" s="43"/>
      <c r="D530" s="76"/>
      <c r="E530" s="76"/>
      <c r="F530" s="43"/>
      <c r="G530" s="43"/>
    </row>
    <row r="531" spans="2:7" ht="13.2">
      <c r="B531" s="43"/>
      <c r="C531" s="43"/>
      <c r="D531" s="76"/>
      <c r="E531" s="76"/>
      <c r="F531" s="43"/>
      <c r="G531" s="43"/>
    </row>
    <row r="532" spans="2:7" ht="13.2">
      <c r="B532" s="43"/>
      <c r="C532" s="43"/>
      <c r="D532" s="76"/>
      <c r="E532" s="76"/>
      <c r="F532" s="43"/>
      <c r="G532" s="43"/>
    </row>
    <row r="533" spans="2:7" ht="13.2">
      <c r="B533" s="43"/>
      <c r="C533" s="43"/>
      <c r="D533" s="76"/>
      <c r="E533" s="76"/>
      <c r="F533" s="43"/>
      <c r="G533" s="43"/>
    </row>
    <row r="534" spans="2:7" ht="13.2">
      <c r="B534" s="43"/>
      <c r="C534" s="43"/>
      <c r="D534" s="76"/>
      <c r="E534" s="76"/>
      <c r="F534" s="43"/>
      <c r="G534" s="43"/>
    </row>
    <row r="535" spans="2:7" ht="13.2">
      <c r="B535" s="43"/>
      <c r="C535" s="43"/>
      <c r="D535" s="76"/>
      <c r="E535" s="76"/>
      <c r="F535" s="43"/>
      <c r="G535" s="43"/>
    </row>
    <row r="536" spans="2:7" ht="13.2">
      <c r="B536" s="43"/>
      <c r="C536" s="43"/>
      <c r="D536" s="76"/>
      <c r="E536" s="76"/>
      <c r="F536" s="43"/>
      <c r="G536" s="43"/>
    </row>
    <row r="537" spans="2:7" ht="13.2">
      <c r="B537" s="43"/>
      <c r="C537" s="43"/>
      <c r="D537" s="76"/>
      <c r="E537" s="76"/>
      <c r="F537" s="43"/>
      <c r="G537" s="43"/>
    </row>
    <row r="538" spans="2:7" ht="13.2">
      <c r="B538" s="43"/>
      <c r="C538" s="43"/>
      <c r="D538" s="76"/>
      <c r="E538" s="76"/>
      <c r="F538" s="43"/>
      <c r="G538" s="43"/>
    </row>
    <row r="539" spans="2:7" ht="13.2">
      <c r="B539" s="43"/>
      <c r="C539" s="43"/>
      <c r="D539" s="76"/>
      <c r="E539" s="76"/>
      <c r="F539" s="43"/>
      <c r="G539" s="43"/>
    </row>
    <row r="540" spans="2:7" ht="13.2">
      <c r="B540" s="43"/>
      <c r="C540" s="43"/>
      <c r="D540" s="76"/>
      <c r="E540" s="76"/>
      <c r="F540" s="43"/>
      <c r="G540" s="43"/>
    </row>
    <row r="541" spans="2:7" ht="13.2">
      <c r="B541" s="43"/>
      <c r="C541" s="43"/>
      <c r="D541" s="76"/>
      <c r="E541" s="76"/>
      <c r="F541" s="43"/>
      <c r="G541" s="43"/>
    </row>
    <row r="542" spans="2:7" ht="13.2">
      <c r="B542" s="43"/>
      <c r="C542" s="43"/>
      <c r="D542" s="76"/>
      <c r="E542" s="76"/>
      <c r="F542" s="43"/>
      <c r="G542" s="43"/>
    </row>
    <row r="543" spans="2:7" ht="13.2">
      <c r="B543" s="43"/>
      <c r="C543" s="43"/>
      <c r="D543" s="76"/>
      <c r="E543" s="76"/>
      <c r="F543" s="43"/>
      <c r="G543" s="43"/>
    </row>
    <row r="544" spans="2:7" ht="13.2">
      <c r="B544" s="43"/>
      <c r="C544" s="43"/>
      <c r="D544" s="76"/>
      <c r="E544" s="76"/>
      <c r="F544" s="43"/>
      <c r="G544" s="43"/>
    </row>
    <row r="545" spans="2:7" ht="13.2">
      <c r="B545" s="43"/>
      <c r="C545" s="43"/>
      <c r="D545" s="76"/>
      <c r="E545" s="76"/>
      <c r="F545" s="43"/>
      <c r="G545" s="43"/>
    </row>
    <row r="546" spans="2:7" ht="13.2">
      <c r="B546" s="43"/>
      <c r="C546" s="43"/>
      <c r="D546" s="76"/>
      <c r="E546" s="76"/>
      <c r="F546" s="43"/>
      <c r="G546" s="43"/>
    </row>
    <row r="547" spans="2:7" ht="13.2">
      <c r="B547" s="43"/>
      <c r="C547" s="43"/>
      <c r="D547" s="76"/>
      <c r="E547" s="76"/>
      <c r="F547" s="43"/>
      <c r="G547" s="43"/>
    </row>
    <row r="548" spans="2:7" ht="13.2">
      <c r="B548" s="43"/>
      <c r="C548" s="43"/>
      <c r="D548" s="76"/>
      <c r="E548" s="76"/>
      <c r="F548" s="43"/>
      <c r="G548" s="43"/>
    </row>
    <row r="549" spans="2:7" ht="13.2">
      <c r="B549" s="43"/>
      <c r="C549" s="43"/>
      <c r="D549" s="76"/>
      <c r="E549" s="76"/>
      <c r="F549" s="43"/>
      <c r="G549" s="43"/>
    </row>
    <row r="550" spans="2:7" ht="13.2">
      <c r="B550" s="43"/>
      <c r="C550" s="43"/>
      <c r="D550" s="76"/>
      <c r="E550" s="76"/>
      <c r="F550" s="43"/>
      <c r="G550" s="43"/>
    </row>
    <row r="551" spans="2:7" ht="13.2">
      <c r="B551" s="43"/>
      <c r="C551" s="43"/>
      <c r="D551" s="76"/>
      <c r="E551" s="76"/>
      <c r="F551" s="43"/>
      <c r="G551" s="43"/>
    </row>
    <row r="552" spans="2:7" ht="13.2">
      <c r="B552" s="43"/>
      <c r="C552" s="43"/>
      <c r="D552" s="76"/>
      <c r="E552" s="76"/>
      <c r="F552" s="43"/>
      <c r="G552" s="43"/>
    </row>
    <row r="553" spans="2:7" ht="13.2">
      <c r="B553" s="43"/>
      <c r="C553" s="43"/>
      <c r="D553" s="76"/>
      <c r="E553" s="76"/>
      <c r="F553" s="43"/>
      <c r="G553" s="43"/>
    </row>
    <row r="554" spans="2:7" ht="13.2">
      <c r="B554" s="43"/>
      <c r="C554" s="43"/>
      <c r="D554" s="76"/>
      <c r="E554" s="76"/>
      <c r="F554" s="43"/>
      <c r="G554" s="43"/>
    </row>
    <row r="555" spans="2:7" ht="13.2">
      <c r="B555" s="43"/>
      <c r="C555" s="43"/>
      <c r="D555" s="76"/>
      <c r="E555" s="76"/>
      <c r="F555" s="43"/>
      <c r="G555" s="43"/>
    </row>
    <row r="556" spans="2:7" ht="13.2">
      <c r="B556" s="43"/>
      <c r="C556" s="43"/>
      <c r="D556" s="76"/>
      <c r="E556" s="76"/>
      <c r="F556" s="43"/>
      <c r="G556" s="43"/>
    </row>
    <row r="557" spans="2:7" ht="13.2">
      <c r="B557" s="43"/>
      <c r="C557" s="43"/>
      <c r="D557" s="76"/>
      <c r="E557" s="76"/>
      <c r="F557" s="43"/>
      <c r="G557" s="43"/>
    </row>
    <row r="558" spans="2:7" ht="13.2">
      <c r="B558" s="43"/>
      <c r="C558" s="43"/>
      <c r="D558" s="76"/>
      <c r="E558" s="76"/>
      <c r="F558" s="43"/>
      <c r="G558" s="43"/>
    </row>
    <row r="559" spans="2:7" ht="13.2">
      <c r="B559" s="43"/>
      <c r="C559" s="43"/>
      <c r="D559" s="76"/>
      <c r="E559" s="76"/>
      <c r="F559" s="43"/>
      <c r="G559" s="43"/>
    </row>
    <row r="560" spans="2:7" ht="13.2">
      <c r="B560" s="43"/>
      <c r="C560" s="43"/>
      <c r="D560" s="76"/>
      <c r="E560" s="76"/>
      <c r="F560" s="43"/>
      <c r="G560" s="43"/>
    </row>
    <row r="561" spans="2:7" ht="13.2">
      <c r="B561" s="43"/>
      <c r="C561" s="43"/>
      <c r="D561" s="76"/>
      <c r="E561" s="76"/>
      <c r="F561" s="43"/>
      <c r="G561" s="43"/>
    </row>
    <row r="562" spans="2:7" ht="13.2">
      <c r="B562" s="43"/>
      <c r="C562" s="43"/>
      <c r="D562" s="76"/>
      <c r="E562" s="76"/>
      <c r="F562" s="43"/>
      <c r="G562" s="43"/>
    </row>
    <row r="563" spans="2:7" ht="13.2">
      <c r="B563" s="43"/>
      <c r="C563" s="43"/>
      <c r="D563" s="76"/>
      <c r="E563" s="76"/>
      <c r="F563" s="43"/>
      <c r="G563" s="43"/>
    </row>
    <row r="564" spans="2:7" ht="13.2">
      <c r="B564" s="43"/>
      <c r="C564" s="43"/>
      <c r="D564" s="76"/>
      <c r="E564" s="76"/>
      <c r="F564" s="43"/>
      <c r="G564" s="43"/>
    </row>
    <row r="565" spans="2:7" ht="13.2">
      <c r="B565" s="43"/>
      <c r="C565" s="43"/>
      <c r="D565" s="76"/>
      <c r="E565" s="76"/>
      <c r="F565" s="43"/>
      <c r="G565" s="43"/>
    </row>
    <row r="566" spans="2:7" ht="13.2">
      <c r="B566" s="43"/>
      <c r="C566" s="43"/>
      <c r="D566" s="76"/>
      <c r="E566" s="76"/>
      <c r="F566" s="43"/>
      <c r="G566" s="43"/>
    </row>
    <row r="567" spans="2:7" ht="13.2">
      <c r="B567" s="43"/>
      <c r="C567" s="43"/>
      <c r="D567" s="76"/>
      <c r="E567" s="76"/>
      <c r="F567" s="43"/>
      <c r="G567" s="43"/>
    </row>
    <row r="568" spans="2:7" ht="13.2">
      <c r="B568" s="43"/>
      <c r="C568" s="43"/>
      <c r="D568" s="76"/>
      <c r="E568" s="76"/>
      <c r="F568" s="43"/>
      <c r="G568" s="43"/>
    </row>
    <row r="569" spans="2:7" ht="13.2">
      <c r="B569" s="43"/>
      <c r="C569" s="43"/>
      <c r="D569" s="76"/>
      <c r="E569" s="76"/>
      <c r="F569" s="43"/>
      <c r="G569" s="43"/>
    </row>
    <row r="570" spans="2:7" ht="13.2">
      <c r="B570" s="43"/>
      <c r="C570" s="43"/>
      <c r="D570" s="76"/>
      <c r="E570" s="76"/>
      <c r="F570" s="43"/>
      <c r="G570" s="43"/>
    </row>
    <row r="571" spans="2:7" ht="13.2">
      <c r="B571" s="43"/>
      <c r="C571" s="43"/>
      <c r="D571" s="76"/>
      <c r="E571" s="76"/>
      <c r="F571" s="43"/>
      <c r="G571" s="43"/>
    </row>
    <row r="572" spans="2:7" ht="13.2">
      <c r="B572" s="43"/>
      <c r="C572" s="43"/>
      <c r="D572" s="76"/>
      <c r="E572" s="76"/>
      <c r="F572" s="43"/>
      <c r="G572" s="43"/>
    </row>
    <row r="573" spans="2:7" ht="13.2">
      <c r="B573" s="43"/>
      <c r="C573" s="43"/>
      <c r="D573" s="76"/>
      <c r="E573" s="76"/>
      <c r="F573" s="43"/>
      <c r="G573" s="43"/>
    </row>
    <row r="574" spans="2:7" ht="13.2">
      <c r="B574" s="43"/>
      <c r="C574" s="43"/>
      <c r="D574" s="76"/>
      <c r="E574" s="76"/>
      <c r="F574" s="43"/>
      <c r="G574" s="43"/>
    </row>
    <row r="575" spans="2:7" ht="13.2">
      <c r="B575" s="43"/>
      <c r="C575" s="43"/>
      <c r="D575" s="76"/>
      <c r="E575" s="76"/>
      <c r="F575" s="43"/>
      <c r="G575" s="43"/>
    </row>
    <row r="576" spans="2:7" ht="13.2">
      <c r="B576" s="43"/>
      <c r="C576" s="43"/>
      <c r="D576" s="76"/>
      <c r="E576" s="76"/>
      <c r="F576" s="43"/>
      <c r="G576" s="43"/>
    </row>
    <row r="577" spans="2:7" ht="13.2">
      <c r="B577" s="43"/>
      <c r="C577" s="43"/>
      <c r="D577" s="76"/>
      <c r="E577" s="76"/>
      <c r="F577" s="43"/>
      <c r="G577" s="43"/>
    </row>
    <row r="578" spans="2:7" ht="13.2">
      <c r="B578" s="43"/>
      <c r="C578" s="43"/>
      <c r="D578" s="76"/>
      <c r="E578" s="76"/>
      <c r="F578" s="43"/>
      <c r="G578" s="43"/>
    </row>
    <row r="579" spans="2:7" ht="13.2">
      <c r="B579" s="43"/>
      <c r="C579" s="43"/>
      <c r="D579" s="76"/>
      <c r="E579" s="76"/>
      <c r="F579" s="43"/>
      <c r="G579" s="43"/>
    </row>
    <row r="580" spans="2:7" ht="13.2">
      <c r="B580" s="43"/>
      <c r="C580" s="43"/>
      <c r="D580" s="76"/>
      <c r="E580" s="76"/>
      <c r="F580" s="43"/>
      <c r="G580" s="43"/>
    </row>
    <row r="581" spans="2:7" ht="13.2">
      <c r="B581" s="43"/>
      <c r="C581" s="43"/>
      <c r="D581" s="76"/>
      <c r="E581" s="76"/>
      <c r="F581" s="43"/>
      <c r="G581" s="43"/>
    </row>
    <row r="582" spans="2:7" ht="13.2">
      <c r="B582" s="43"/>
      <c r="C582" s="43"/>
      <c r="D582" s="76"/>
      <c r="E582" s="76"/>
      <c r="F582" s="43"/>
      <c r="G582" s="43"/>
    </row>
    <row r="583" spans="2:7" ht="13.2">
      <c r="B583" s="43"/>
      <c r="C583" s="43"/>
      <c r="D583" s="76"/>
      <c r="E583" s="76"/>
      <c r="F583" s="43"/>
      <c r="G583" s="43"/>
    </row>
    <row r="584" spans="2:7" ht="13.2">
      <c r="B584" s="43"/>
      <c r="C584" s="43"/>
      <c r="D584" s="76"/>
      <c r="E584" s="76"/>
      <c r="F584" s="43"/>
      <c r="G584" s="43"/>
    </row>
    <row r="585" spans="2:7" ht="13.2">
      <c r="B585" s="43"/>
      <c r="C585" s="43"/>
      <c r="D585" s="76"/>
      <c r="E585" s="76"/>
      <c r="F585" s="43"/>
      <c r="G585" s="43"/>
    </row>
    <row r="586" spans="2:7" ht="13.2">
      <c r="B586" s="43"/>
      <c r="C586" s="43"/>
      <c r="D586" s="76"/>
      <c r="E586" s="76"/>
      <c r="F586" s="43"/>
      <c r="G586" s="43"/>
    </row>
    <row r="587" spans="2:7" ht="13.2">
      <c r="B587" s="43"/>
      <c r="C587" s="43"/>
      <c r="D587" s="76"/>
      <c r="E587" s="76"/>
      <c r="F587" s="43"/>
      <c r="G587" s="43"/>
    </row>
    <row r="588" spans="2:7" ht="13.2">
      <c r="B588" s="43"/>
      <c r="C588" s="43"/>
      <c r="D588" s="76"/>
      <c r="E588" s="76"/>
      <c r="F588" s="43"/>
      <c r="G588" s="43"/>
    </row>
    <row r="589" spans="2:7" ht="13.2">
      <c r="B589" s="43"/>
      <c r="C589" s="43"/>
      <c r="D589" s="76"/>
      <c r="E589" s="76"/>
      <c r="F589" s="43"/>
      <c r="G589" s="43"/>
    </row>
    <row r="590" spans="2:7" ht="13.2">
      <c r="B590" s="43"/>
      <c r="C590" s="43"/>
      <c r="D590" s="76"/>
      <c r="E590" s="76"/>
      <c r="F590" s="43"/>
      <c r="G590" s="43"/>
    </row>
    <row r="591" spans="2:7" ht="13.2">
      <c r="B591" s="43"/>
      <c r="C591" s="43"/>
      <c r="D591" s="76"/>
      <c r="E591" s="76"/>
      <c r="F591" s="43"/>
      <c r="G591" s="43"/>
    </row>
    <row r="592" spans="2:7" ht="13.2">
      <c r="B592" s="43"/>
      <c r="C592" s="43"/>
      <c r="D592" s="76"/>
      <c r="E592" s="76"/>
      <c r="F592" s="43"/>
      <c r="G592" s="43"/>
    </row>
    <row r="593" spans="2:7" ht="13.2">
      <c r="B593" s="43"/>
      <c r="C593" s="43"/>
      <c r="D593" s="76"/>
      <c r="E593" s="76"/>
      <c r="F593" s="43"/>
      <c r="G593" s="43"/>
    </row>
    <row r="594" spans="2:7" ht="13.2">
      <c r="B594" s="43"/>
      <c r="C594" s="43"/>
      <c r="D594" s="76"/>
      <c r="E594" s="76"/>
      <c r="F594" s="43"/>
      <c r="G594" s="43"/>
    </row>
    <row r="595" spans="2:7" ht="13.2">
      <c r="B595" s="43"/>
      <c r="C595" s="43"/>
      <c r="D595" s="76"/>
      <c r="E595" s="76"/>
      <c r="F595" s="43"/>
      <c r="G595" s="43"/>
    </row>
    <row r="596" spans="2:7" ht="13.2">
      <c r="B596" s="43"/>
      <c r="C596" s="43"/>
      <c r="D596" s="76"/>
      <c r="E596" s="76"/>
      <c r="F596" s="43"/>
      <c r="G596" s="43"/>
    </row>
    <row r="597" spans="2:7" ht="13.2">
      <c r="B597" s="43"/>
      <c r="C597" s="43"/>
      <c r="D597" s="76"/>
      <c r="E597" s="76"/>
      <c r="F597" s="43"/>
      <c r="G597" s="43"/>
    </row>
    <row r="598" spans="2:7" ht="13.2">
      <c r="B598" s="43"/>
      <c r="C598" s="43"/>
      <c r="D598" s="76"/>
      <c r="E598" s="76"/>
      <c r="F598" s="43"/>
      <c r="G598" s="43"/>
    </row>
    <row r="599" spans="2:7" ht="13.2">
      <c r="B599" s="43"/>
      <c r="C599" s="43"/>
      <c r="D599" s="76"/>
      <c r="E599" s="76"/>
      <c r="F599" s="43"/>
      <c r="G599" s="43"/>
    </row>
    <row r="600" spans="2:7" ht="13.2">
      <c r="B600" s="43"/>
      <c r="C600" s="43"/>
      <c r="D600" s="76"/>
      <c r="E600" s="76"/>
      <c r="F600" s="43"/>
      <c r="G600" s="43"/>
    </row>
    <row r="601" spans="2:7" ht="13.2">
      <c r="B601" s="43"/>
      <c r="C601" s="43"/>
      <c r="D601" s="76"/>
      <c r="E601" s="76"/>
      <c r="F601" s="43"/>
      <c r="G601" s="43"/>
    </row>
    <row r="602" spans="2:7" ht="13.2">
      <c r="B602" s="43"/>
      <c r="C602" s="43"/>
      <c r="D602" s="76"/>
      <c r="E602" s="76"/>
      <c r="F602" s="43"/>
      <c r="G602" s="43"/>
    </row>
    <row r="603" spans="2:7" ht="13.2">
      <c r="B603" s="43"/>
      <c r="C603" s="43"/>
      <c r="D603" s="76"/>
      <c r="E603" s="76"/>
      <c r="F603" s="43"/>
      <c r="G603" s="43"/>
    </row>
    <row r="604" spans="2:7" ht="13.2">
      <c r="B604" s="43"/>
      <c r="C604" s="43"/>
      <c r="D604" s="76"/>
      <c r="E604" s="76"/>
      <c r="F604" s="43"/>
      <c r="G604" s="43"/>
    </row>
    <row r="605" spans="2:7" ht="13.2">
      <c r="B605" s="43"/>
      <c r="C605" s="43"/>
      <c r="D605" s="76"/>
      <c r="E605" s="76"/>
      <c r="F605" s="43"/>
      <c r="G605" s="43"/>
    </row>
    <row r="606" spans="2:7" ht="13.2">
      <c r="B606" s="43"/>
      <c r="C606" s="43"/>
      <c r="D606" s="76"/>
      <c r="E606" s="76"/>
      <c r="F606" s="43"/>
      <c r="G606" s="43"/>
    </row>
    <row r="607" spans="2:7" ht="13.2">
      <c r="B607" s="43"/>
      <c r="C607" s="43"/>
      <c r="D607" s="76"/>
      <c r="E607" s="76"/>
      <c r="F607" s="43"/>
      <c r="G607" s="43"/>
    </row>
    <row r="608" spans="2:7" ht="13.2">
      <c r="B608" s="43"/>
      <c r="C608" s="43"/>
      <c r="D608" s="76"/>
      <c r="E608" s="76"/>
      <c r="F608" s="43"/>
      <c r="G608" s="43"/>
    </row>
    <row r="609" spans="2:7" ht="13.2">
      <c r="B609" s="43"/>
      <c r="C609" s="43"/>
      <c r="D609" s="76"/>
      <c r="E609" s="76"/>
      <c r="F609" s="43"/>
      <c r="G609" s="43"/>
    </row>
    <row r="610" spans="2:7" ht="13.2">
      <c r="B610" s="43"/>
      <c r="C610" s="43"/>
      <c r="D610" s="76"/>
      <c r="E610" s="76"/>
      <c r="F610" s="43"/>
      <c r="G610" s="43"/>
    </row>
    <row r="611" spans="2:7" ht="13.2">
      <c r="B611" s="43"/>
      <c r="C611" s="43"/>
      <c r="D611" s="76"/>
      <c r="E611" s="76"/>
      <c r="F611" s="43"/>
      <c r="G611" s="43"/>
    </row>
    <row r="612" spans="2:7" ht="13.2">
      <c r="B612" s="43"/>
      <c r="C612" s="43"/>
      <c r="D612" s="76"/>
      <c r="E612" s="76"/>
      <c r="F612" s="43"/>
      <c r="G612" s="43"/>
    </row>
    <row r="613" spans="2:7" ht="13.2">
      <c r="B613" s="43"/>
      <c r="C613" s="43"/>
      <c r="D613" s="76"/>
      <c r="E613" s="76"/>
      <c r="F613" s="43"/>
      <c r="G613" s="43"/>
    </row>
    <row r="614" spans="2:7" ht="13.2">
      <c r="B614" s="43"/>
      <c r="C614" s="43"/>
      <c r="D614" s="76"/>
      <c r="E614" s="76"/>
      <c r="F614" s="43"/>
      <c r="G614" s="43"/>
    </row>
    <row r="615" spans="2:7" ht="13.2">
      <c r="B615" s="43"/>
      <c r="C615" s="43"/>
      <c r="D615" s="76"/>
      <c r="E615" s="76"/>
      <c r="F615" s="43"/>
      <c r="G615" s="43"/>
    </row>
    <row r="616" spans="2:7" ht="13.2">
      <c r="B616" s="43"/>
      <c r="C616" s="43"/>
      <c r="D616" s="76"/>
      <c r="E616" s="76"/>
      <c r="F616" s="43"/>
      <c r="G616" s="43"/>
    </row>
    <row r="617" spans="2:7" ht="13.2">
      <c r="B617" s="43"/>
      <c r="C617" s="43"/>
      <c r="D617" s="76"/>
      <c r="E617" s="76"/>
      <c r="F617" s="43"/>
      <c r="G617" s="43"/>
    </row>
    <row r="618" spans="2:7" ht="13.2">
      <c r="B618" s="43"/>
      <c r="C618" s="43"/>
      <c r="D618" s="76"/>
      <c r="E618" s="76"/>
      <c r="F618" s="43"/>
      <c r="G618" s="43"/>
    </row>
    <row r="619" spans="2:7" ht="13.2">
      <c r="B619" s="43"/>
      <c r="C619" s="43"/>
      <c r="D619" s="76"/>
      <c r="E619" s="76"/>
      <c r="F619" s="43"/>
      <c r="G619" s="43"/>
    </row>
    <row r="620" spans="2:7" ht="13.2">
      <c r="B620" s="43"/>
      <c r="C620" s="43"/>
      <c r="D620" s="76"/>
      <c r="E620" s="76"/>
      <c r="F620" s="43"/>
      <c r="G620" s="43"/>
    </row>
    <row r="621" spans="2:7" ht="13.2">
      <c r="B621" s="43"/>
      <c r="C621" s="43"/>
      <c r="D621" s="76"/>
      <c r="E621" s="76"/>
      <c r="F621" s="43"/>
      <c r="G621" s="43"/>
    </row>
    <row r="622" spans="2:7" ht="13.2">
      <c r="B622" s="43"/>
      <c r="C622" s="43"/>
      <c r="D622" s="76"/>
      <c r="E622" s="76"/>
      <c r="F622" s="43"/>
      <c r="G622" s="43"/>
    </row>
    <row r="623" spans="2:7" ht="13.2">
      <c r="B623" s="43"/>
      <c r="C623" s="43"/>
      <c r="D623" s="76"/>
      <c r="E623" s="76"/>
      <c r="F623" s="43"/>
      <c r="G623" s="43"/>
    </row>
    <row r="624" spans="2:7" ht="13.2">
      <c r="B624" s="43"/>
      <c r="C624" s="43"/>
      <c r="D624" s="76"/>
      <c r="E624" s="76"/>
      <c r="F624" s="43"/>
      <c r="G624" s="43"/>
    </row>
    <row r="625" spans="2:7" ht="13.2">
      <c r="B625" s="43"/>
      <c r="C625" s="43"/>
      <c r="D625" s="76"/>
      <c r="E625" s="76"/>
      <c r="F625" s="43"/>
      <c r="G625" s="43"/>
    </row>
    <row r="626" spans="2:7" ht="13.2">
      <c r="B626" s="43"/>
      <c r="C626" s="43"/>
      <c r="D626" s="76"/>
      <c r="E626" s="76"/>
      <c r="F626" s="43"/>
      <c r="G626" s="43"/>
    </row>
    <row r="627" spans="2:7" ht="13.2">
      <c r="B627" s="43"/>
      <c r="C627" s="43"/>
      <c r="D627" s="76"/>
      <c r="E627" s="76"/>
      <c r="F627" s="43"/>
      <c r="G627" s="43"/>
    </row>
    <row r="628" spans="2:7" ht="13.2">
      <c r="B628" s="43"/>
      <c r="C628" s="43"/>
      <c r="D628" s="76"/>
      <c r="E628" s="76"/>
      <c r="F628" s="43"/>
      <c r="G628" s="43"/>
    </row>
    <row r="629" spans="2:7" ht="13.2">
      <c r="B629" s="43"/>
      <c r="C629" s="43"/>
      <c r="D629" s="76"/>
      <c r="E629" s="76"/>
      <c r="F629" s="43"/>
      <c r="G629" s="43"/>
    </row>
    <row r="630" spans="2:7" ht="13.2">
      <c r="B630" s="43"/>
      <c r="C630" s="43"/>
      <c r="D630" s="76"/>
      <c r="E630" s="76"/>
      <c r="F630" s="43"/>
      <c r="G630" s="43"/>
    </row>
    <row r="631" spans="2:7" ht="13.2">
      <c r="B631" s="43"/>
      <c r="C631" s="43"/>
      <c r="D631" s="76"/>
      <c r="E631" s="76"/>
      <c r="F631" s="43"/>
      <c r="G631" s="43"/>
    </row>
    <row r="632" spans="2:7" ht="13.2">
      <c r="B632" s="43"/>
      <c r="C632" s="43"/>
      <c r="D632" s="76"/>
      <c r="E632" s="76"/>
      <c r="F632" s="43"/>
      <c r="G632" s="43"/>
    </row>
    <row r="633" spans="2:7" ht="13.2">
      <c r="B633" s="43"/>
      <c r="C633" s="43"/>
      <c r="D633" s="76"/>
      <c r="E633" s="76"/>
      <c r="F633" s="43"/>
      <c r="G633" s="43"/>
    </row>
    <row r="634" spans="2:7" ht="13.2">
      <c r="B634" s="43"/>
      <c r="C634" s="43"/>
      <c r="D634" s="76"/>
      <c r="E634" s="76"/>
      <c r="F634" s="43"/>
      <c r="G634" s="43"/>
    </row>
    <row r="635" spans="2:7" ht="13.2">
      <c r="B635" s="43"/>
      <c r="C635" s="43"/>
      <c r="D635" s="76"/>
      <c r="E635" s="76"/>
      <c r="F635" s="43"/>
      <c r="G635" s="43"/>
    </row>
    <row r="636" spans="2:7" ht="13.2">
      <c r="B636" s="43"/>
      <c r="C636" s="43"/>
      <c r="D636" s="76"/>
      <c r="E636" s="76"/>
      <c r="F636" s="43"/>
      <c r="G636" s="43"/>
    </row>
    <row r="637" spans="2:7" ht="13.2">
      <c r="B637" s="43"/>
      <c r="C637" s="43"/>
      <c r="D637" s="76"/>
      <c r="E637" s="76"/>
      <c r="F637" s="43"/>
      <c r="G637" s="43"/>
    </row>
    <row r="638" spans="2:7" ht="13.2">
      <c r="B638" s="43"/>
      <c r="C638" s="43"/>
      <c r="D638" s="76"/>
      <c r="E638" s="76"/>
      <c r="F638" s="43"/>
      <c r="G638" s="43"/>
    </row>
    <row r="639" spans="2:7" ht="13.2">
      <c r="B639" s="43"/>
      <c r="C639" s="43"/>
      <c r="D639" s="76"/>
      <c r="E639" s="76"/>
      <c r="F639" s="43"/>
      <c r="G639" s="43"/>
    </row>
    <row r="640" spans="2:7" ht="13.2">
      <c r="B640" s="43"/>
      <c r="C640" s="43"/>
      <c r="D640" s="76"/>
      <c r="E640" s="76"/>
      <c r="F640" s="43"/>
      <c r="G640" s="43"/>
    </row>
    <row r="641" spans="2:7" ht="13.2">
      <c r="B641" s="43"/>
      <c r="C641" s="43"/>
      <c r="D641" s="76"/>
      <c r="E641" s="76"/>
      <c r="F641" s="43"/>
      <c r="G641" s="43"/>
    </row>
    <row r="642" spans="2:7" ht="13.2">
      <c r="B642" s="43"/>
      <c r="C642" s="43"/>
      <c r="D642" s="76"/>
      <c r="E642" s="76"/>
      <c r="F642" s="43"/>
      <c r="G642" s="43"/>
    </row>
    <row r="643" spans="2:7" ht="13.2">
      <c r="B643" s="43"/>
      <c r="C643" s="43"/>
      <c r="D643" s="76"/>
      <c r="E643" s="76"/>
      <c r="F643" s="43"/>
      <c r="G643" s="43"/>
    </row>
    <row r="644" spans="2:7" ht="13.2">
      <c r="B644" s="43"/>
      <c r="C644" s="43"/>
      <c r="D644" s="76"/>
      <c r="E644" s="76"/>
      <c r="F644" s="43"/>
      <c r="G644" s="43"/>
    </row>
    <row r="645" spans="2:7" ht="13.2">
      <c r="B645" s="43"/>
      <c r="C645" s="43"/>
      <c r="D645" s="76"/>
      <c r="E645" s="76"/>
      <c r="F645" s="43"/>
      <c r="G645" s="43"/>
    </row>
    <row r="646" spans="2:7" ht="13.2">
      <c r="B646" s="43"/>
      <c r="C646" s="43"/>
      <c r="D646" s="76"/>
      <c r="E646" s="76"/>
      <c r="F646" s="43"/>
      <c r="G646" s="43"/>
    </row>
    <row r="647" spans="2:7" ht="13.2">
      <c r="B647" s="43"/>
      <c r="C647" s="43"/>
      <c r="D647" s="76"/>
      <c r="E647" s="76"/>
      <c r="F647" s="43"/>
      <c r="G647" s="43"/>
    </row>
    <row r="648" spans="2:7" ht="13.2">
      <c r="B648" s="43"/>
      <c r="C648" s="43"/>
      <c r="D648" s="76"/>
      <c r="E648" s="76"/>
      <c r="F648" s="43"/>
      <c r="G648" s="43"/>
    </row>
    <row r="649" spans="2:7" ht="13.2">
      <c r="B649" s="43"/>
      <c r="C649" s="43"/>
      <c r="D649" s="76"/>
      <c r="E649" s="76"/>
      <c r="F649" s="43"/>
      <c r="G649" s="43"/>
    </row>
    <row r="650" spans="2:7" ht="13.2">
      <c r="B650" s="43"/>
      <c r="C650" s="43"/>
      <c r="D650" s="76"/>
      <c r="E650" s="76"/>
      <c r="F650" s="43"/>
      <c r="G650" s="43"/>
    </row>
    <row r="651" spans="2:7" ht="13.2">
      <c r="B651" s="43"/>
      <c r="C651" s="43"/>
      <c r="D651" s="76"/>
      <c r="E651" s="76"/>
      <c r="F651" s="43"/>
      <c r="G651" s="43"/>
    </row>
    <row r="652" spans="2:7" ht="13.2">
      <c r="B652" s="43"/>
      <c r="C652" s="43"/>
      <c r="D652" s="76"/>
      <c r="E652" s="76"/>
      <c r="F652" s="43"/>
      <c r="G652" s="43"/>
    </row>
    <row r="653" spans="2:7" ht="13.2">
      <c r="B653" s="43"/>
      <c r="C653" s="43"/>
      <c r="D653" s="76"/>
      <c r="E653" s="76"/>
      <c r="F653" s="43"/>
      <c r="G653" s="43"/>
    </row>
    <row r="654" spans="2:7" ht="13.2">
      <c r="B654" s="43"/>
      <c r="C654" s="43"/>
      <c r="D654" s="76"/>
      <c r="E654" s="76"/>
      <c r="F654" s="43"/>
      <c r="G654" s="43"/>
    </row>
    <row r="655" spans="2:7" ht="13.2">
      <c r="B655" s="43"/>
      <c r="C655" s="43"/>
      <c r="D655" s="76"/>
      <c r="E655" s="76"/>
      <c r="F655" s="43"/>
      <c r="G655" s="43"/>
    </row>
    <row r="656" spans="2:7" ht="13.2">
      <c r="B656" s="43"/>
      <c r="C656" s="43"/>
      <c r="D656" s="76"/>
      <c r="E656" s="76"/>
      <c r="F656" s="43"/>
      <c r="G656" s="43"/>
    </row>
    <row r="657" spans="2:7" ht="13.2">
      <c r="B657" s="43"/>
      <c r="C657" s="43"/>
      <c r="D657" s="76"/>
      <c r="E657" s="76"/>
      <c r="F657" s="43"/>
      <c r="G657" s="43"/>
    </row>
    <row r="658" spans="2:7" ht="13.2">
      <c r="B658" s="43"/>
      <c r="C658" s="43"/>
      <c r="D658" s="76"/>
      <c r="E658" s="76"/>
      <c r="F658" s="43"/>
      <c r="G658" s="43"/>
    </row>
    <row r="659" spans="2:7" ht="13.2">
      <c r="B659" s="43"/>
      <c r="C659" s="43"/>
      <c r="D659" s="76"/>
      <c r="E659" s="76"/>
      <c r="F659" s="43"/>
      <c r="G659" s="43"/>
    </row>
    <row r="660" spans="2:7" ht="13.2">
      <c r="B660" s="43"/>
      <c r="C660" s="43"/>
      <c r="D660" s="76"/>
      <c r="E660" s="76"/>
      <c r="F660" s="43"/>
      <c r="G660" s="43"/>
    </row>
    <row r="661" spans="2:7" ht="13.2">
      <c r="B661" s="43"/>
      <c r="C661" s="43"/>
      <c r="D661" s="76"/>
      <c r="E661" s="76"/>
      <c r="F661" s="43"/>
      <c r="G661" s="43"/>
    </row>
    <row r="662" spans="2:7" ht="13.2">
      <c r="B662" s="43"/>
      <c r="C662" s="43"/>
      <c r="D662" s="76"/>
      <c r="E662" s="76"/>
      <c r="F662" s="43"/>
      <c r="G662" s="43"/>
    </row>
    <row r="663" spans="2:7" ht="13.2">
      <c r="B663" s="43"/>
      <c r="C663" s="43"/>
      <c r="D663" s="76"/>
      <c r="E663" s="76"/>
      <c r="F663" s="43"/>
      <c r="G663" s="43"/>
    </row>
    <row r="664" spans="2:7" ht="13.2">
      <c r="B664" s="43"/>
      <c r="C664" s="43"/>
      <c r="D664" s="76"/>
      <c r="E664" s="76"/>
      <c r="F664" s="43"/>
      <c r="G664" s="43"/>
    </row>
    <row r="665" spans="2:7" ht="13.2">
      <c r="B665" s="43"/>
      <c r="C665" s="43"/>
      <c r="D665" s="76"/>
      <c r="E665" s="76"/>
      <c r="F665" s="43"/>
      <c r="G665" s="43"/>
    </row>
    <row r="666" spans="2:7" ht="13.2">
      <c r="B666" s="43"/>
      <c r="C666" s="43"/>
      <c r="D666" s="76"/>
      <c r="E666" s="76"/>
      <c r="F666" s="43"/>
      <c r="G666" s="43"/>
    </row>
    <row r="667" spans="2:7" ht="13.2">
      <c r="B667" s="43"/>
      <c r="C667" s="43"/>
      <c r="D667" s="76"/>
      <c r="E667" s="76"/>
      <c r="F667" s="43"/>
      <c r="G667" s="43"/>
    </row>
    <row r="668" spans="2:7" ht="13.2">
      <c r="B668" s="43"/>
      <c r="C668" s="43"/>
      <c r="D668" s="76"/>
      <c r="E668" s="76"/>
      <c r="F668" s="43"/>
      <c r="G668" s="43"/>
    </row>
    <row r="669" spans="2:7" ht="13.2">
      <c r="B669" s="43"/>
      <c r="C669" s="43"/>
      <c r="D669" s="76"/>
      <c r="E669" s="76"/>
      <c r="F669" s="43"/>
      <c r="G669" s="43"/>
    </row>
    <row r="670" spans="2:7" ht="13.2">
      <c r="B670" s="43"/>
      <c r="C670" s="43"/>
      <c r="D670" s="76"/>
      <c r="E670" s="76"/>
      <c r="F670" s="43"/>
      <c r="G670" s="43"/>
    </row>
    <row r="671" spans="2:7" ht="13.2">
      <c r="B671" s="43"/>
      <c r="C671" s="43"/>
      <c r="D671" s="76"/>
      <c r="E671" s="76"/>
      <c r="F671" s="43"/>
      <c r="G671" s="43"/>
    </row>
    <row r="672" spans="2:7" ht="13.2">
      <c r="B672" s="43"/>
      <c r="C672" s="43"/>
      <c r="D672" s="76"/>
      <c r="E672" s="76"/>
      <c r="F672" s="43"/>
      <c r="G672" s="43"/>
    </row>
    <row r="673" spans="2:7" ht="13.2">
      <c r="B673" s="43"/>
      <c r="C673" s="43"/>
      <c r="D673" s="76"/>
      <c r="E673" s="76"/>
      <c r="F673" s="43"/>
      <c r="G673" s="43"/>
    </row>
    <row r="674" spans="2:7" ht="13.2">
      <c r="B674" s="43"/>
      <c r="C674" s="43"/>
      <c r="D674" s="76"/>
      <c r="E674" s="76"/>
      <c r="F674" s="43"/>
      <c r="G674" s="43"/>
    </row>
    <row r="675" spans="2:7" ht="13.2">
      <c r="B675" s="43"/>
      <c r="C675" s="43"/>
      <c r="D675" s="76"/>
      <c r="E675" s="76"/>
      <c r="F675" s="43"/>
      <c r="G675" s="43"/>
    </row>
    <row r="676" spans="2:7" ht="13.2">
      <c r="B676" s="43"/>
      <c r="C676" s="43"/>
      <c r="D676" s="76"/>
      <c r="E676" s="76"/>
      <c r="F676" s="43"/>
      <c r="G676" s="43"/>
    </row>
    <row r="677" spans="2:7" ht="13.2">
      <c r="B677" s="43"/>
      <c r="C677" s="43"/>
      <c r="D677" s="76"/>
      <c r="E677" s="76"/>
      <c r="F677" s="43"/>
      <c r="G677" s="43"/>
    </row>
    <row r="678" spans="2:7" ht="13.2">
      <c r="B678" s="43"/>
      <c r="C678" s="43"/>
      <c r="D678" s="76"/>
      <c r="E678" s="76"/>
      <c r="F678" s="43"/>
      <c r="G678" s="43"/>
    </row>
    <row r="679" spans="2:7" ht="13.2">
      <c r="B679" s="43"/>
      <c r="C679" s="43"/>
      <c r="D679" s="76"/>
      <c r="E679" s="76"/>
      <c r="F679" s="43"/>
      <c r="G679" s="43"/>
    </row>
    <row r="680" spans="2:7" ht="13.2">
      <c r="B680" s="43"/>
      <c r="C680" s="43"/>
      <c r="D680" s="76"/>
      <c r="E680" s="76"/>
      <c r="F680" s="43"/>
      <c r="G680" s="43"/>
    </row>
    <row r="681" spans="2:7" ht="13.2">
      <c r="B681" s="43"/>
      <c r="C681" s="43"/>
      <c r="D681" s="76"/>
      <c r="E681" s="76"/>
      <c r="F681" s="43"/>
      <c r="G681" s="43"/>
    </row>
    <row r="682" spans="2:7" ht="13.2">
      <c r="B682" s="43"/>
      <c r="C682" s="43"/>
      <c r="D682" s="76"/>
      <c r="E682" s="76"/>
      <c r="F682" s="43"/>
      <c r="G682" s="43"/>
    </row>
    <row r="683" spans="2:7" ht="13.2">
      <c r="B683" s="43"/>
      <c r="C683" s="43"/>
      <c r="D683" s="76"/>
      <c r="E683" s="76"/>
      <c r="F683" s="43"/>
      <c r="G683" s="43"/>
    </row>
    <row r="684" spans="2:7" ht="13.2">
      <c r="B684" s="43"/>
      <c r="C684" s="43"/>
      <c r="D684" s="76"/>
      <c r="E684" s="76"/>
      <c r="F684" s="43"/>
      <c r="G684" s="43"/>
    </row>
    <row r="685" spans="2:7" ht="13.2">
      <c r="B685" s="43"/>
      <c r="C685" s="43"/>
      <c r="D685" s="76"/>
      <c r="E685" s="76"/>
      <c r="F685" s="43"/>
      <c r="G685" s="43"/>
    </row>
    <row r="686" spans="2:7" ht="13.2">
      <c r="B686" s="43"/>
      <c r="C686" s="43"/>
      <c r="D686" s="76"/>
      <c r="E686" s="76"/>
      <c r="F686" s="43"/>
      <c r="G686" s="43"/>
    </row>
    <row r="687" spans="2:7" ht="13.2">
      <c r="B687" s="43"/>
      <c r="C687" s="43"/>
      <c r="D687" s="76"/>
      <c r="E687" s="76"/>
      <c r="F687" s="43"/>
      <c r="G687" s="43"/>
    </row>
    <row r="688" spans="2:7" ht="13.2">
      <c r="B688" s="43"/>
      <c r="C688" s="43"/>
      <c r="D688" s="76"/>
      <c r="E688" s="76"/>
      <c r="F688" s="43"/>
      <c r="G688" s="43"/>
    </row>
    <row r="689" spans="2:7" ht="13.2">
      <c r="B689" s="43"/>
      <c r="C689" s="43"/>
      <c r="D689" s="76"/>
      <c r="E689" s="76"/>
      <c r="F689" s="43"/>
      <c r="G689" s="43"/>
    </row>
    <row r="690" spans="2:7" ht="13.2">
      <c r="B690" s="43"/>
      <c r="C690" s="43"/>
      <c r="D690" s="76"/>
      <c r="E690" s="76"/>
      <c r="F690" s="43"/>
      <c r="G690" s="43"/>
    </row>
    <row r="691" spans="2:7" ht="13.2">
      <c r="B691" s="43"/>
      <c r="C691" s="43"/>
      <c r="D691" s="76"/>
      <c r="E691" s="76"/>
      <c r="F691" s="43"/>
      <c r="G691" s="43"/>
    </row>
    <row r="692" spans="2:7" ht="13.2">
      <c r="B692" s="43"/>
      <c r="C692" s="43"/>
      <c r="D692" s="76"/>
      <c r="E692" s="76"/>
      <c r="F692" s="43"/>
      <c r="G692" s="43"/>
    </row>
    <row r="693" spans="2:7" ht="13.2">
      <c r="B693" s="43"/>
      <c r="C693" s="43"/>
      <c r="D693" s="76"/>
      <c r="E693" s="76"/>
      <c r="F693" s="43"/>
      <c r="G693" s="43"/>
    </row>
    <row r="694" spans="2:7" ht="13.2">
      <c r="B694" s="43"/>
      <c r="C694" s="43"/>
      <c r="D694" s="76"/>
      <c r="E694" s="76"/>
      <c r="F694" s="43"/>
      <c r="G694" s="43"/>
    </row>
    <row r="695" spans="2:7" ht="13.2">
      <c r="B695" s="43"/>
      <c r="C695" s="43"/>
      <c r="D695" s="76"/>
      <c r="E695" s="76"/>
      <c r="F695" s="43"/>
      <c r="G695" s="43"/>
    </row>
    <row r="696" spans="2:7" ht="13.2">
      <c r="B696" s="43"/>
      <c r="C696" s="43"/>
      <c r="D696" s="76"/>
      <c r="E696" s="76"/>
      <c r="F696" s="43"/>
      <c r="G696" s="43"/>
    </row>
    <row r="697" spans="2:7" ht="13.2">
      <c r="B697" s="43"/>
      <c r="C697" s="43"/>
      <c r="D697" s="76"/>
      <c r="E697" s="76"/>
      <c r="F697" s="43"/>
      <c r="G697" s="43"/>
    </row>
    <row r="698" spans="2:7" ht="13.2">
      <c r="B698" s="43"/>
      <c r="C698" s="43"/>
      <c r="D698" s="76"/>
      <c r="E698" s="76"/>
      <c r="F698" s="43"/>
      <c r="G698" s="43"/>
    </row>
    <row r="699" spans="2:7" ht="13.2">
      <c r="B699" s="43"/>
      <c r="C699" s="43"/>
      <c r="D699" s="76"/>
      <c r="E699" s="76"/>
      <c r="F699" s="43"/>
      <c r="G699" s="43"/>
    </row>
    <row r="700" spans="2:7" ht="13.2">
      <c r="B700" s="43"/>
      <c r="C700" s="43"/>
      <c r="D700" s="76"/>
      <c r="E700" s="76"/>
      <c r="F700" s="43"/>
      <c r="G700" s="43"/>
    </row>
    <row r="701" spans="2:7" ht="13.2">
      <c r="B701" s="43"/>
      <c r="C701" s="43"/>
      <c r="D701" s="76"/>
      <c r="E701" s="76"/>
      <c r="F701" s="43"/>
      <c r="G701" s="43"/>
    </row>
    <row r="702" spans="2:7" ht="13.2">
      <c r="B702" s="43"/>
      <c r="C702" s="43"/>
      <c r="D702" s="76"/>
      <c r="E702" s="76"/>
      <c r="F702" s="43"/>
      <c r="G702" s="43"/>
    </row>
    <row r="703" spans="2:7" ht="13.2">
      <c r="B703" s="43"/>
      <c r="C703" s="43"/>
      <c r="D703" s="76"/>
      <c r="E703" s="76"/>
      <c r="F703" s="43"/>
      <c r="G703" s="43"/>
    </row>
    <row r="704" spans="2:7" ht="13.2">
      <c r="B704" s="43"/>
      <c r="C704" s="43"/>
      <c r="D704" s="76"/>
      <c r="E704" s="76"/>
      <c r="F704" s="43"/>
      <c r="G704" s="43"/>
    </row>
    <row r="705" spans="2:7" ht="13.2">
      <c r="B705" s="43"/>
      <c r="C705" s="43"/>
      <c r="D705" s="76"/>
      <c r="E705" s="76"/>
      <c r="F705" s="43"/>
      <c r="G705" s="43"/>
    </row>
    <row r="706" spans="2:7" ht="13.2">
      <c r="B706" s="43"/>
      <c r="C706" s="43"/>
      <c r="D706" s="76"/>
      <c r="E706" s="76"/>
      <c r="F706" s="43"/>
      <c r="G706" s="43"/>
    </row>
    <row r="707" spans="2:7" ht="13.2">
      <c r="B707" s="43"/>
      <c r="C707" s="43"/>
      <c r="D707" s="76"/>
      <c r="E707" s="76"/>
      <c r="F707" s="43"/>
      <c r="G707" s="43"/>
    </row>
    <row r="708" spans="2:7" ht="13.2">
      <c r="B708" s="43"/>
      <c r="C708" s="43"/>
      <c r="D708" s="76"/>
      <c r="E708" s="76"/>
      <c r="F708" s="43"/>
      <c r="G708" s="43"/>
    </row>
    <row r="709" spans="2:7" ht="13.2">
      <c r="B709" s="43"/>
      <c r="C709" s="43"/>
      <c r="D709" s="76"/>
      <c r="E709" s="76"/>
      <c r="F709" s="43"/>
      <c r="G709" s="43"/>
    </row>
    <row r="710" spans="2:7" ht="13.2">
      <c r="B710" s="43"/>
      <c r="C710" s="43"/>
      <c r="D710" s="76"/>
      <c r="E710" s="76"/>
      <c r="F710" s="43"/>
      <c r="G710" s="43"/>
    </row>
    <row r="711" spans="2:7" ht="13.2">
      <c r="B711" s="43"/>
      <c r="C711" s="43"/>
      <c r="D711" s="76"/>
      <c r="E711" s="76"/>
      <c r="F711" s="43"/>
      <c r="G711" s="43"/>
    </row>
    <row r="712" spans="2:7" ht="13.2">
      <c r="B712" s="43"/>
      <c r="C712" s="43"/>
      <c r="D712" s="76"/>
      <c r="E712" s="76"/>
      <c r="F712" s="43"/>
      <c r="G712" s="43"/>
    </row>
    <row r="713" spans="2:7" ht="13.2">
      <c r="B713" s="43"/>
      <c r="C713" s="43"/>
      <c r="D713" s="76"/>
      <c r="E713" s="76"/>
      <c r="F713" s="43"/>
      <c r="G713" s="43"/>
    </row>
    <row r="714" spans="2:7" ht="13.2">
      <c r="B714" s="43"/>
      <c r="C714" s="43"/>
      <c r="D714" s="76"/>
      <c r="E714" s="76"/>
      <c r="F714" s="43"/>
      <c r="G714" s="43"/>
    </row>
    <row r="715" spans="2:7" ht="13.2">
      <c r="B715" s="43"/>
      <c r="C715" s="43"/>
      <c r="D715" s="76"/>
      <c r="E715" s="76"/>
      <c r="F715" s="43"/>
      <c r="G715" s="43"/>
    </row>
    <row r="716" spans="2:7" ht="13.2">
      <c r="B716" s="43"/>
      <c r="C716" s="43"/>
      <c r="D716" s="76"/>
      <c r="E716" s="76"/>
      <c r="F716" s="43"/>
      <c r="G716" s="43"/>
    </row>
    <row r="717" spans="2:7" ht="13.2">
      <c r="B717" s="43"/>
      <c r="C717" s="43"/>
      <c r="D717" s="76"/>
      <c r="E717" s="76"/>
      <c r="F717" s="43"/>
      <c r="G717" s="43"/>
    </row>
    <row r="718" spans="2:7" ht="13.2">
      <c r="B718" s="43"/>
      <c r="C718" s="43"/>
      <c r="D718" s="76"/>
      <c r="E718" s="76"/>
      <c r="F718" s="43"/>
      <c r="G718" s="43"/>
    </row>
    <row r="719" spans="2:7" ht="13.2">
      <c r="B719" s="43"/>
      <c r="C719" s="43"/>
      <c r="D719" s="76"/>
      <c r="E719" s="76"/>
      <c r="F719" s="43"/>
      <c r="G719" s="43"/>
    </row>
    <row r="720" spans="2:7" ht="13.2">
      <c r="B720" s="43"/>
      <c r="C720" s="43"/>
      <c r="D720" s="76"/>
      <c r="E720" s="76"/>
      <c r="F720" s="43"/>
      <c r="G720" s="43"/>
    </row>
    <row r="721" spans="2:7" ht="13.2">
      <c r="B721" s="43"/>
      <c r="C721" s="43"/>
      <c r="D721" s="76"/>
      <c r="E721" s="76"/>
      <c r="F721" s="43"/>
      <c r="G721" s="43"/>
    </row>
    <row r="722" spans="2:7" ht="13.2">
      <c r="B722" s="43"/>
      <c r="C722" s="43"/>
      <c r="D722" s="76"/>
      <c r="E722" s="76"/>
      <c r="F722" s="43"/>
      <c r="G722" s="43"/>
    </row>
    <row r="723" spans="2:7" ht="13.2">
      <c r="B723" s="43"/>
      <c r="C723" s="43"/>
      <c r="D723" s="76"/>
      <c r="E723" s="76"/>
      <c r="F723" s="43"/>
      <c r="G723" s="43"/>
    </row>
    <row r="724" spans="2:7" ht="13.2">
      <c r="B724" s="43"/>
      <c r="C724" s="43"/>
      <c r="D724" s="76"/>
      <c r="E724" s="76"/>
      <c r="F724" s="43"/>
      <c r="G724" s="43"/>
    </row>
    <row r="725" spans="2:7" ht="13.2">
      <c r="B725" s="43"/>
      <c r="C725" s="43"/>
      <c r="D725" s="76"/>
      <c r="E725" s="76"/>
      <c r="F725" s="43"/>
      <c r="G725" s="43"/>
    </row>
    <row r="726" spans="2:7" ht="13.2">
      <c r="B726" s="43"/>
      <c r="C726" s="43"/>
      <c r="D726" s="76"/>
      <c r="E726" s="76"/>
      <c r="F726" s="43"/>
      <c r="G726" s="43"/>
    </row>
    <row r="727" spans="2:7" ht="13.2">
      <c r="B727" s="43"/>
      <c r="C727" s="43"/>
      <c r="D727" s="76"/>
      <c r="E727" s="76"/>
      <c r="F727" s="43"/>
      <c r="G727" s="43"/>
    </row>
    <row r="728" spans="2:7" ht="13.2">
      <c r="B728" s="43"/>
      <c r="C728" s="43"/>
      <c r="D728" s="76"/>
      <c r="E728" s="76"/>
      <c r="F728" s="43"/>
      <c r="G728" s="43"/>
    </row>
    <row r="729" spans="2:7" ht="13.2">
      <c r="B729" s="43"/>
      <c r="C729" s="43"/>
      <c r="D729" s="76"/>
      <c r="E729" s="76"/>
      <c r="F729" s="43"/>
      <c r="G729" s="43"/>
    </row>
    <row r="730" spans="2:7" ht="13.2">
      <c r="B730" s="43"/>
      <c r="C730" s="43"/>
      <c r="D730" s="76"/>
      <c r="E730" s="76"/>
      <c r="F730" s="43"/>
      <c r="G730" s="43"/>
    </row>
    <row r="731" spans="2:7" ht="13.2">
      <c r="B731" s="43"/>
      <c r="C731" s="43"/>
      <c r="D731" s="76"/>
      <c r="E731" s="76"/>
      <c r="F731" s="43"/>
      <c r="G731" s="43"/>
    </row>
    <row r="732" spans="2:7" ht="13.2">
      <c r="B732" s="43"/>
      <c r="C732" s="43"/>
      <c r="D732" s="76"/>
      <c r="E732" s="76"/>
      <c r="F732" s="43"/>
      <c r="G732" s="43"/>
    </row>
    <row r="733" spans="2:7" ht="13.2">
      <c r="B733" s="43"/>
      <c r="C733" s="43"/>
      <c r="D733" s="76"/>
      <c r="E733" s="76"/>
      <c r="F733" s="43"/>
      <c r="G733" s="43"/>
    </row>
    <row r="734" spans="2:7" ht="13.2">
      <c r="B734" s="43"/>
      <c r="C734" s="43"/>
      <c r="D734" s="76"/>
      <c r="E734" s="76"/>
      <c r="F734" s="43"/>
      <c r="G734" s="43"/>
    </row>
    <row r="735" spans="2:7" ht="13.2">
      <c r="B735" s="43"/>
      <c r="C735" s="43"/>
      <c r="D735" s="76"/>
      <c r="E735" s="76"/>
      <c r="F735" s="43"/>
      <c r="G735" s="43"/>
    </row>
    <row r="736" spans="2:7" ht="13.2">
      <c r="B736" s="43"/>
      <c r="C736" s="43"/>
      <c r="D736" s="76"/>
      <c r="E736" s="76"/>
      <c r="F736" s="43"/>
      <c r="G736" s="43"/>
    </row>
    <row r="737" spans="2:7" ht="13.2">
      <c r="B737" s="43"/>
      <c r="C737" s="43"/>
      <c r="D737" s="76"/>
      <c r="E737" s="76"/>
      <c r="F737" s="43"/>
      <c r="G737" s="43"/>
    </row>
    <row r="738" spans="2:7" ht="13.2">
      <c r="B738" s="43"/>
      <c r="C738" s="43"/>
      <c r="D738" s="76"/>
      <c r="E738" s="76"/>
      <c r="F738" s="43"/>
      <c r="G738" s="43"/>
    </row>
    <row r="739" spans="2:7" ht="13.2">
      <c r="B739" s="43"/>
      <c r="C739" s="43"/>
      <c r="D739" s="76"/>
      <c r="E739" s="76"/>
      <c r="F739" s="43"/>
      <c r="G739" s="43"/>
    </row>
    <row r="740" spans="2:7" ht="13.2">
      <c r="B740" s="43"/>
      <c r="C740" s="43"/>
      <c r="D740" s="76"/>
      <c r="E740" s="76"/>
      <c r="F740" s="43"/>
      <c r="G740" s="43"/>
    </row>
    <row r="741" spans="2:7" ht="13.2">
      <c r="B741" s="43"/>
      <c r="C741" s="43"/>
      <c r="D741" s="76"/>
      <c r="E741" s="76"/>
      <c r="F741" s="43"/>
      <c r="G741" s="43"/>
    </row>
    <row r="742" spans="2:7" ht="13.2">
      <c r="B742" s="43"/>
      <c r="C742" s="43"/>
      <c r="D742" s="76"/>
      <c r="E742" s="76"/>
      <c r="F742" s="43"/>
      <c r="G742" s="43"/>
    </row>
    <row r="743" spans="2:7" ht="13.2">
      <c r="B743" s="43"/>
      <c r="C743" s="43"/>
      <c r="D743" s="76"/>
      <c r="E743" s="76"/>
      <c r="F743" s="43"/>
      <c r="G743" s="43"/>
    </row>
    <row r="744" spans="2:7" ht="13.2">
      <c r="B744" s="43"/>
      <c r="C744" s="43"/>
      <c r="D744" s="76"/>
      <c r="E744" s="76"/>
      <c r="F744" s="43"/>
      <c r="G744" s="43"/>
    </row>
    <row r="745" spans="2:7" ht="13.2">
      <c r="B745" s="43"/>
      <c r="C745" s="43"/>
      <c r="D745" s="76"/>
      <c r="E745" s="76"/>
      <c r="F745" s="43"/>
      <c r="G745" s="43"/>
    </row>
    <row r="746" spans="2:7" ht="13.2">
      <c r="B746" s="43"/>
      <c r="C746" s="43"/>
      <c r="D746" s="76"/>
      <c r="E746" s="76"/>
      <c r="F746" s="43"/>
      <c r="G746" s="43"/>
    </row>
    <row r="747" spans="2:7" ht="13.2">
      <c r="B747" s="43"/>
      <c r="C747" s="43"/>
      <c r="D747" s="76"/>
      <c r="E747" s="76"/>
      <c r="F747" s="43"/>
      <c r="G747" s="43"/>
    </row>
    <row r="748" spans="2:7" ht="13.2">
      <c r="B748" s="43"/>
      <c r="C748" s="43"/>
      <c r="D748" s="76"/>
      <c r="E748" s="76"/>
      <c r="F748" s="43"/>
      <c r="G748" s="43"/>
    </row>
    <row r="749" spans="2:7" ht="13.2">
      <c r="B749" s="43"/>
      <c r="C749" s="43"/>
      <c r="D749" s="76"/>
      <c r="E749" s="76"/>
      <c r="F749" s="43"/>
      <c r="G749" s="43"/>
    </row>
    <row r="750" spans="2:7" ht="13.2">
      <c r="B750" s="43"/>
      <c r="C750" s="43"/>
      <c r="D750" s="76"/>
      <c r="E750" s="76"/>
      <c r="F750" s="43"/>
      <c r="G750" s="43"/>
    </row>
    <row r="751" spans="2:7" ht="13.2">
      <c r="B751" s="43"/>
      <c r="C751" s="43"/>
      <c r="D751" s="76"/>
      <c r="E751" s="76"/>
      <c r="F751" s="43"/>
      <c r="G751" s="43"/>
    </row>
    <row r="752" spans="2:7" ht="13.2">
      <c r="B752" s="43"/>
      <c r="C752" s="43"/>
      <c r="D752" s="76"/>
      <c r="E752" s="76"/>
      <c r="F752" s="43"/>
      <c r="G752" s="43"/>
    </row>
    <row r="753" spans="2:7" ht="13.2">
      <c r="B753" s="43"/>
      <c r="C753" s="43"/>
      <c r="D753" s="76"/>
      <c r="E753" s="76"/>
      <c r="F753" s="43"/>
      <c r="G753" s="43"/>
    </row>
    <row r="754" spans="2:7" ht="13.2">
      <c r="B754" s="43"/>
      <c r="C754" s="43"/>
      <c r="D754" s="76"/>
      <c r="E754" s="76"/>
      <c r="F754" s="43"/>
      <c r="G754" s="43"/>
    </row>
    <row r="755" spans="2:7" ht="13.2">
      <c r="B755" s="43"/>
      <c r="C755" s="43"/>
      <c r="D755" s="76"/>
      <c r="E755" s="76"/>
      <c r="F755" s="43"/>
      <c r="G755" s="43"/>
    </row>
    <row r="756" spans="2:7" ht="13.2">
      <c r="B756" s="43"/>
      <c r="C756" s="43"/>
      <c r="D756" s="76"/>
      <c r="E756" s="76"/>
      <c r="F756" s="43"/>
      <c r="G756" s="43"/>
    </row>
    <row r="757" spans="2:7" ht="13.2">
      <c r="B757" s="43"/>
      <c r="C757" s="43"/>
      <c r="D757" s="76"/>
      <c r="E757" s="76"/>
      <c r="F757" s="43"/>
      <c r="G757" s="43"/>
    </row>
    <row r="758" spans="2:7" ht="13.2">
      <c r="B758" s="43"/>
      <c r="C758" s="43"/>
      <c r="D758" s="76"/>
      <c r="E758" s="76"/>
      <c r="F758" s="43"/>
      <c r="G758" s="43"/>
    </row>
    <row r="759" spans="2:7" ht="13.2">
      <c r="B759" s="43"/>
      <c r="C759" s="43"/>
      <c r="D759" s="76"/>
      <c r="E759" s="76"/>
      <c r="F759" s="43"/>
      <c r="G759" s="43"/>
    </row>
    <row r="760" spans="2:7" ht="13.2">
      <c r="B760" s="43"/>
      <c r="C760" s="43"/>
      <c r="D760" s="76"/>
      <c r="E760" s="76"/>
      <c r="F760" s="43"/>
      <c r="G760" s="43"/>
    </row>
    <row r="761" spans="2:7" ht="13.2">
      <c r="B761" s="43"/>
      <c r="C761" s="43"/>
      <c r="D761" s="76"/>
      <c r="E761" s="76"/>
      <c r="F761" s="43"/>
      <c r="G761" s="43"/>
    </row>
    <row r="762" spans="2:7" ht="13.2">
      <c r="B762" s="43"/>
      <c r="C762" s="43"/>
      <c r="D762" s="76"/>
      <c r="E762" s="76"/>
      <c r="F762" s="43"/>
      <c r="G762" s="43"/>
    </row>
    <row r="763" spans="2:7" ht="13.2">
      <c r="B763" s="43"/>
      <c r="C763" s="43"/>
      <c r="D763" s="76"/>
      <c r="E763" s="76"/>
      <c r="F763" s="43"/>
      <c r="G763" s="43"/>
    </row>
    <row r="764" spans="2:7" ht="13.2">
      <c r="B764" s="43"/>
      <c r="C764" s="43"/>
      <c r="D764" s="76"/>
      <c r="E764" s="76"/>
      <c r="F764" s="43"/>
      <c r="G764" s="43"/>
    </row>
    <row r="765" spans="2:7" ht="13.2">
      <c r="B765" s="43"/>
      <c r="C765" s="43"/>
      <c r="D765" s="76"/>
      <c r="E765" s="76"/>
      <c r="F765" s="43"/>
      <c r="G765" s="43"/>
    </row>
    <row r="766" spans="2:7" ht="13.2">
      <c r="B766" s="43"/>
      <c r="C766" s="43"/>
      <c r="D766" s="76"/>
      <c r="E766" s="76"/>
      <c r="F766" s="43"/>
      <c r="G766" s="43"/>
    </row>
    <row r="767" spans="2:7" ht="13.2">
      <c r="B767" s="43"/>
      <c r="C767" s="43"/>
      <c r="D767" s="76"/>
      <c r="E767" s="76"/>
      <c r="F767" s="43"/>
      <c r="G767" s="43"/>
    </row>
    <row r="768" spans="2:7" ht="13.2">
      <c r="B768" s="43"/>
      <c r="C768" s="43"/>
      <c r="D768" s="76"/>
      <c r="E768" s="76"/>
      <c r="F768" s="43"/>
      <c r="G768" s="43"/>
    </row>
    <row r="769" spans="2:7" ht="13.2">
      <c r="B769" s="43"/>
      <c r="C769" s="43"/>
      <c r="D769" s="76"/>
      <c r="E769" s="76"/>
      <c r="F769" s="43"/>
      <c r="G769" s="43"/>
    </row>
    <row r="770" spans="2:7" ht="13.2">
      <c r="B770" s="43"/>
      <c r="C770" s="43"/>
      <c r="D770" s="76"/>
      <c r="E770" s="76"/>
      <c r="F770" s="43"/>
      <c r="G770" s="43"/>
    </row>
    <row r="771" spans="2:7" ht="13.2">
      <c r="B771" s="43"/>
      <c r="C771" s="43"/>
      <c r="D771" s="76"/>
      <c r="E771" s="76"/>
      <c r="F771" s="43"/>
      <c r="G771" s="43"/>
    </row>
    <row r="772" spans="2:7" ht="13.2">
      <c r="B772" s="43"/>
      <c r="C772" s="43"/>
      <c r="D772" s="76"/>
      <c r="E772" s="76"/>
      <c r="F772" s="43"/>
      <c r="G772" s="43"/>
    </row>
    <row r="773" spans="2:7" ht="13.2">
      <c r="B773" s="43"/>
      <c r="C773" s="43"/>
      <c r="D773" s="76"/>
      <c r="E773" s="76"/>
      <c r="F773" s="43"/>
      <c r="G773" s="43"/>
    </row>
    <row r="774" spans="2:7" ht="13.2">
      <c r="B774" s="43"/>
      <c r="C774" s="43"/>
      <c r="D774" s="76"/>
      <c r="E774" s="76"/>
      <c r="F774" s="43"/>
      <c r="G774" s="43"/>
    </row>
    <row r="775" spans="2:7" ht="13.2">
      <c r="B775" s="43"/>
      <c r="C775" s="43"/>
      <c r="D775" s="76"/>
      <c r="E775" s="76"/>
      <c r="F775" s="43"/>
      <c r="G775" s="43"/>
    </row>
    <row r="776" spans="2:7" ht="13.2">
      <c r="B776" s="43"/>
      <c r="C776" s="43"/>
      <c r="D776" s="76"/>
      <c r="E776" s="76"/>
      <c r="F776" s="43"/>
      <c r="G776" s="43"/>
    </row>
    <row r="777" spans="2:7" ht="13.2">
      <c r="B777" s="43"/>
      <c r="C777" s="43"/>
      <c r="D777" s="76"/>
      <c r="E777" s="76"/>
      <c r="F777" s="43"/>
      <c r="G777" s="43"/>
    </row>
    <row r="778" spans="2:7" ht="13.2">
      <c r="B778" s="43"/>
      <c r="C778" s="43"/>
      <c r="D778" s="76"/>
      <c r="E778" s="76"/>
      <c r="F778" s="43"/>
      <c r="G778" s="43"/>
    </row>
    <row r="779" spans="2:7" ht="13.2">
      <c r="B779" s="43"/>
      <c r="C779" s="43"/>
      <c r="D779" s="76"/>
      <c r="E779" s="76"/>
      <c r="F779" s="43"/>
      <c r="G779" s="43"/>
    </row>
    <row r="780" spans="2:7" ht="13.2">
      <c r="B780" s="43"/>
      <c r="C780" s="43"/>
      <c r="D780" s="76"/>
      <c r="E780" s="76"/>
      <c r="F780" s="43"/>
      <c r="G780" s="43"/>
    </row>
    <row r="781" spans="2:7" ht="13.2">
      <c r="B781" s="43"/>
      <c r="C781" s="43"/>
      <c r="D781" s="76"/>
      <c r="E781" s="76"/>
      <c r="F781" s="43"/>
      <c r="G781" s="43"/>
    </row>
    <row r="782" spans="2:7" ht="13.2">
      <c r="B782" s="43"/>
      <c r="C782" s="43"/>
      <c r="D782" s="76"/>
      <c r="E782" s="76"/>
      <c r="F782" s="43"/>
      <c r="G782" s="43"/>
    </row>
    <row r="783" spans="2:7" ht="13.2">
      <c r="B783" s="43"/>
      <c r="C783" s="43"/>
      <c r="D783" s="76"/>
      <c r="E783" s="76"/>
      <c r="F783" s="43"/>
      <c r="G783" s="43"/>
    </row>
    <row r="784" spans="2:7" ht="13.2">
      <c r="B784" s="43"/>
      <c r="C784" s="43"/>
      <c r="D784" s="76"/>
      <c r="E784" s="76"/>
      <c r="F784" s="43"/>
      <c r="G784" s="43"/>
    </row>
    <row r="785" spans="2:7" ht="13.2">
      <c r="B785" s="43"/>
      <c r="C785" s="43"/>
      <c r="D785" s="76"/>
      <c r="E785" s="76"/>
      <c r="F785" s="43"/>
      <c r="G785" s="43"/>
    </row>
    <row r="786" spans="2:7" ht="13.2">
      <c r="B786" s="43"/>
      <c r="C786" s="43"/>
      <c r="D786" s="76"/>
      <c r="E786" s="76"/>
      <c r="F786" s="43"/>
      <c r="G786" s="43"/>
    </row>
    <row r="787" spans="2:7" ht="13.2">
      <c r="B787" s="43"/>
      <c r="C787" s="43"/>
      <c r="D787" s="76"/>
      <c r="E787" s="76"/>
      <c r="F787" s="43"/>
      <c r="G787" s="43"/>
    </row>
    <row r="788" spans="2:7" ht="13.2">
      <c r="B788" s="43"/>
      <c r="C788" s="43"/>
      <c r="D788" s="76"/>
      <c r="E788" s="76"/>
      <c r="F788" s="43"/>
      <c r="G788" s="43"/>
    </row>
    <row r="789" spans="2:7" ht="13.2">
      <c r="B789" s="43"/>
      <c r="C789" s="43"/>
      <c r="D789" s="76"/>
      <c r="E789" s="76"/>
      <c r="F789" s="43"/>
      <c r="G789" s="43"/>
    </row>
    <row r="790" spans="2:7" ht="13.2">
      <c r="B790" s="43"/>
      <c r="C790" s="43"/>
      <c r="D790" s="76"/>
      <c r="E790" s="76"/>
      <c r="F790" s="43"/>
      <c r="G790" s="43"/>
    </row>
    <row r="791" spans="2:7" ht="13.2">
      <c r="B791" s="43"/>
      <c r="C791" s="43"/>
      <c r="D791" s="76"/>
      <c r="E791" s="76"/>
      <c r="F791" s="43"/>
      <c r="G791" s="43"/>
    </row>
    <row r="792" spans="2:7" ht="13.2">
      <c r="B792" s="43"/>
      <c r="C792" s="43"/>
      <c r="D792" s="76"/>
      <c r="E792" s="76"/>
      <c r="F792" s="43"/>
      <c r="G792" s="43"/>
    </row>
    <row r="793" spans="2:7" ht="13.2">
      <c r="B793" s="43"/>
      <c r="C793" s="43"/>
      <c r="D793" s="76"/>
      <c r="E793" s="76"/>
      <c r="F793" s="43"/>
      <c r="G793" s="43"/>
    </row>
    <row r="794" spans="2:7" ht="13.2">
      <c r="B794" s="43"/>
      <c r="C794" s="43"/>
      <c r="D794" s="76"/>
      <c r="E794" s="76"/>
      <c r="F794" s="43"/>
      <c r="G794" s="43"/>
    </row>
    <row r="795" spans="2:7" ht="13.2">
      <c r="B795" s="43"/>
      <c r="C795" s="43"/>
      <c r="D795" s="76"/>
      <c r="E795" s="76"/>
      <c r="F795" s="43"/>
      <c r="G795" s="43"/>
    </row>
    <row r="796" spans="2:7" ht="13.2">
      <c r="B796" s="43"/>
      <c r="C796" s="43"/>
      <c r="D796" s="76"/>
      <c r="E796" s="76"/>
      <c r="F796" s="43"/>
      <c r="G796" s="43"/>
    </row>
    <row r="797" spans="2:7" ht="13.2">
      <c r="B797" s="43"/>
      <c r="C797" s="43"/>
      <c r="D797" s="76"/>
      <c r="E797" s="76"/>
      <c r="F797" s="43"/>
      <c r="G797" s="43"/>
    </row>
    <row r="798" spans="2:7" ht="13.2">
      <c r="B798" s="43"/>
      <c r="C798" s="43"/>
      <c r="D798" s="76"/>
      <c r="E798" s="76"/>
      <c r="F798" s="43"/>
      <c r="G798" s="43"/>
    </row>
    <row r="799" spans="2:7" ht="13.2">
      <c r="B799" s="43"/>
      <c r="C799" s="43"/>
      <c r="D799" s="76"/>
      <c r="E799" s="76"/>
      <c r="F799" s="43"/>
      <c r="G799" s="43"/>
    </row>
    <row r="800" spans="2:7" ht="13.2">
      <c r="B800" s="43"/>
      <c r="C800" s="43"/>
      <c r="D800" s="76"/>
      <c r="E800" s="76"/>
      <c r="F800" s="43"/>
      <c r="G800" s="43"/>
    </row>
    <row r="801" spans="2:7" ht="13.2">
      <c r="B801" s="43"/>
      <c r="C801" s="43"/>
      <c r="D801" s="76"/>
      <c r="E801" s="76"/>
      <c r="F801" s="43"/>
      <c r="G801" s="43"/>
    </row>
    <row r="802" spans="2:7" ht="13.2">
      <c r="B802" s="43"/>
      <c r="C802" s="43"/>
      <c r="D802" s="76"/>
      <c r="E802" s="76"/>
      <c r="F802" s="43"/>
      <c r="G802" s="43"/>
    </row>
    <row r="803" spans="2:7" ht="13.2">
      <c r="B803" s="43"/>
      <c r="C803" s="43"/>
      <c r="D803" s="76"/>
      <c r="E803" s="76"/>
      <c r="F803" s="43"/>
      <c r="G803" s="43"/>
    </row>
    <row r="804" spans="2:7" ht="13.2">
      <c r="B804" s="43"/>
      <c r="C804" s="43"/>
      <c r="D804" s="76"/>
      <c r="E804" s="76"/>
      <c r="F804" s="43"/>
      <c r="G804" s="43"/>
    </row>
    <row r="805" spans="2:7" ht="13.2">
      <c r="B805" s="43"/>
      <c r="C805" s="43"/>
      <c r="D805" s="76"/>
      <c r="E805" s="76"/>
      <c r="F805" s="43"/>
      <c r="G805" s="43"/>
    </row>
    <row r="806" spans="2:7" ht="13.2">
      <c r="B806" s="43"/>
      <c r="C806" s="43"/>
      <c r="D806" s="76"/>
      <c r="E806" s="76"/>
      <c r="F806" s="43"/>
      <c r="G806" s="43"/>
    </row>
    <row r="807" spans="2:7" ht="13.2">
      <c r="B807" s="43"/>
      <c r="C807" s="43"/>
      <c r="D807" s="76"/>
      <c r="E807" s="76"/>
      <c r="F807" s="43"/>
      <c r="G807" s="43"/>
    </row>
    <row r="808" spans="2:7" ht="13.2">
      <c r="B808" s="43"/>
      <c r="C808" s="43"/>
      <c r="D808" s="76"/>
      <c r="E808" s="76"/>
      <c r="F808" s="43"/>
      <c r="G808" s="43"/>
    </row>
    <row r="809" spans="2:7" ht="13.2">
      <c r="B809" s="43"/>
      <c r="C809" s="43"/>
      <c r="D809" s="76"/>
      <c r="E809" s="76"/>
      <c r="F809" s="43"/>
      <c r="G809" s="43"/>
    </row>
    <row r="810" spans="2:7" ht="13.2">
      <c r="B810" s="43"/>
      <c r="C810" s="43"/>
      <c r="D810" s="76"/>
      <c r="E810" s="76"/>
      <c r="F810" s="43"/>
      <c r="G810" s="43"/>
    </row>
    <row r="811" spans="2:7" ht="13.2">
      <c r="B811" s="43"/>
      <c r="C811" s="43"/>
      <c r="D811" s="76"/>
      <c r="E811" s="76"/>
      <c r="F811" s="43"/>
      <c r="G811" s="43"/>
    </row>
    <row r="812" spans="2:7" ht="13.2">
      <c r="B812" s="43"/>
      <c r="C812" s="43"/>
      <c r="D812" s="76"/>
      <c r="E812" s="76"/>
      <c r="F812" s="43"/>
      <c r="G812" s="43"/>
    </row>
    <row r="813" spans="2:7" ht="13.2">
      <c r="B813" s="43"/>
      <c r="C813" s="43"/>
      <c r="D813" s="76"/>
      <c r="E813" s="76"/>
      <c r="F813" s="43"/>
      <c r="G813" s="43"/>
    </row>
    <row r="814" spans="2:7" ht="13.2">
      <c r="B814" s="43"/>
      <c r="C814" s="43"/>
      <c r="D814" s="76"/>
      <c r="E814" s="76"/>
      <c r="F814" s="43"/>
      <c r="G814" s="43"/>
    </row>
    <row r="815" spans="2:7" ht="13.2">
      <c r="B815" s="43"/>
      <c r="C815" s="43"/>
      <c r="D815" s="76"/>
      <c r="E815" s="76"/>
      <c r="F815" s="43"/>
      <c r="G815" s="43"/>
    </row>
    <row r="816" spans="2:7" ht="13.2">
      <c r="B816" s="43"/>
      <c r="C816" s="43"/>
      <c r="D816" s="76"/>
      <c r="E816" s="76"/>
      <c r="F816" s="43"/>
      <c r="G816" s="43"/>
    </row>
    <row r="817" spans="2:7" ht="13.2">
      <c r="B817" s="43"/>
      <c r="C817" s="43"/>
      <c r="D817" s="76"/>
      <c r="E817" s="76"/>
      <c r="F817" s="43"/>
      <c r="G817" s="43"/>
    </row>
    <row r="818" spans="2:7" ht="13.2">
      <c r="B818" s="43"/>
      <c r="C818" s="43"/>
      <c r="D818" s="76"/>
      <c r="E818" s="76"/>
      <c r="F818" s="43"/>
      <c r="G818" s="43"/>
    </row>
    <row r="819" spans="2:7" ht="13.2">
      <c r="B819" s="43"/>
      <c r="C819" s="43"/>
      <c r="D819" s="76"/>
      <c r="E819" s="76"/>
      <c r="F819" s="43"/>
      <c r="G819" s="43"/>
    </row>
    <row r="820" spans="2:7" ht="13.2">
      <c r="B820" s="43"/>
      <c r="C820" s="43"/>
      <c r="D820" s="76"/>
      <c r="E820" s="76"/>
      <c r="F820" s="43"/>
      <c r="G820" s="43"/>
    </row>
    <row r="821" spans="2:7" ht="13.2">
      <c r="B821" s="43"/>
      <c r="C821" s="43"/>
      <c r="D821" s="76"/>
      <c r="E821" s="76"/>
      <c r="F821" s="43"/>
      <c r="G821" s="43"/>
    </row>
    <row r="822" spans="2:7" ht="13.2">
      <c r="B822" s="43"/>
      <c r="C822" s="43"/>
      <c r="D822" s="76"/>
      <c r="E822" s="76"/>
      <c r="F822" s="43"/>
      <c r="G822" s="43"/>
    </row>
    <row r="823" spans="2:7" ht="13.2">
      <c r="B823" s="43"/>
      <c r="C823" s="43"/>
      <c r="D823" s="76"/>
      <c r="E823" s="76"/>
      <c r="F823" s="43"/>
      <c r="G823" s="43"/>
    </row>
    <row r="824" spans="2:7" ht="13.2">
      <c r="B824" s="43"/>
      <c r="C824" s="43"/>
      <c r="D824" s="76"/>
      <c r="E824" s="76"/>
      <c r="F824" s="43"/>
      <c r="G824" s="43"/>
    </row>
    <row r="825" spans="2:7" ht="13.2">
      <c r="B825" s="43"/>
      <c r="C825" s="43"/>
      <c r="D825" s="76"/>
      <c r="E825" s="76"/>
      <c r="F825" s="43"/>
      <c r="G825" s="43"/>
    </row>
    <row r="826" spans="2:7" ht="13.2">
      <c r="B826" s="43"/>
      <c r="C826" s="43"/>
      <c r="D826" s="76"/>
      <c r="E826" s="76"/>
      <c r="F826" s="43"/>
      <c r="G826" s="43"/>
    </row>
    <row r="827" spans="2:7" ht="13.2">
      <c r="B827" s="43"/>
      <c r="C827" s="43"/>
      <c r="D827" s="76"/>
      <c r="E827" s="76"/>
      <c r="F827" s="43"/>
      <c r="G827" s="43"/>
    </row>
    <row r="828" spans="2:7" ht="13.2">
      <c r="B828" s="43"/>
      <c r="C828" s="43"/>
      <c r="D828" s="76"/>
      <c r="E828" s="76"/>
      <c r="F828" s="43"/>
      <c r="G828" s="43"/>
    </row>
    <row r="829" spans="2:7" ht="13.2">
      <c r="B829" s="43"/>
      <c r="C829" s="43"/>
      <c r="D829" s="76"/>
      <c r="E829" s="76"/>
      <c r="F829" s="43"/>
      <c r="G829" s="43"/>
    </row>
    <row r="830" spans="2:7" ht="13.2">
      <c r="B830" s="43"/>
      <c r="C830" s="43"/>
      <c r="D830" s="76"/>
      <c r="E830" s="76"/>
      <c r="F830" s="43"/>
      <c r="G830" s="43"/>
    </row>
    <row r="831" spans="2:7" ht="13.2">
      <c r="B831" s="43"/>
      <c r="C831" s="43"/>
      <c r="D831" s="76"/>
      <c r="E831" s="76"/>
      <c r="F831" s="43"/>
      <c r="G831" s="43"/>
    </row>
    <row r="832" spans="2:7" ht="13.2">
      <c r="B832" s="43"/>
      <c r="C832" s="43"/>
      <c r="D832" s="76"/>
      <c r="E832" s="76"/>
      <c r="F832" s="43"/>
      <c r="G832" s="43"/>
    </row>
    <row r="833" spans="2:7" ht="13.2">
      <c r="B833" s="43"/>
      <c r="C833" s="43"/>
      <c r="D833" s="76"/>
      <c r="E833" s="76"/>
      <c r="F833" s="43"/>
      <c r="G833" s="43"/>
    </row>
    <row r="834" spans="2:7" ht="13.2">
      <c r="B834" s="43"/>
      <c r="C834" s="43"/>
      <c r="D834" s="76"/>
      <c r="E834" s="76"/>
      <c r="F834" s="43"/>
      <c r="G834" s="43"/>
    </row>
    <row r="835" spans="2:7" ht="13.2">
      <c r="B835" s="43"/>
      <c r="C835" s="43"/>
      <c r="D835" s="76"/>
      <c r="E835" s="76"/>
      <c r="F835" s="43"/>
      <c r="G835" s="43"/>
    </row>
    <row r="836" spans="2:7" ht="13.2">
      <c r="B836" s="43"/>
      <c r="C836" s="43"/>
      <c r="D836" s="76"/>
      <c r="E836" s="76"/>
      <c r="F836" s="43"/>
      <c r="G836" s="43"/>
    </row>
    <row r="837" spans="2:7" ht="13.2">
      <c r="B837" s="43"/>
      <c r="C837" s="43"/>
      <c r="D837" s="76"/>
      <c r="E837" s="76"/>
      <c r="F837" s="43"/>
      <c r="G837" s="43"/>
    </row>
    <row r="838" spans="2:7" ht="13.2">
      <c r="B838" s="43"/>
      <c r="C838" s="43"/>
      <c r="D838" s="76"/>
      <c r="E838" s="76"/>
      <c r="F838" s="43"/>
      <c r="G838" s="43"/>
    </row>
    <row r="839" spans="2:7" ht="13.2">
      <c r="B839" s="43"/>
      <c r="C839" s="43"/>
      <c r="D839" s="76"/>
      <c r="E839" s="76"/>
      <c r="F839" s="43"/>
      <c r="G839" s="43"/>
    </row>
    <row r="840" spans="2:7" ht="13.2">
      <c r="B840" s="43"/>
      <c r="C840" s="43"/>
      <c r="D840" s="76"/>
      <c r="E840" s="76"/>
      <c r="F840" s="43"/>
      <c r="G840" s="43"/>
    </row>
    <row r="841" spans="2:7" ht="13.2">
      <c r="B841" s="43"/>
      <c r="C841" s="43"/>
      <c r="D841" s="76"/>
      <c r="E841" s="76"/>
      <c r="F841" s="43"/>
      <c r="G841" s="43"/>
    </row>
    <row r="842" spans="2:7" ht="13.2">
      <c r="B842" s="43"/>
      <c r="C842" s="43"/>
      <c r="D842" s="76"/>
      <c r="E842" s="76"/>
      <c r="F842" s="43"/>
      <c r="G842" s="43"/>
    </row>
    <row r="843" spans="2:7" ht="13.2">
      <c r="B843" s="43"/>
      <c r="C843" s="43"/>
      <c r="D843" s="76"/>
      <c r="E843" s="76"/>
      <c r="F843" s="43"/>
      <c r="G843" s="43"/>
    </row>
    <row r="844" spans="2:7" ht="13.2">
      <c r="B844" s="43"/>
      <c r="C844" s="43"/>
      <c r="D844" s="76"/>
      <c r="E844" s="76"/>
      <c r="F844" s="43"/>
      <c r="G844" s="43"/>
    </row>
    <row r="845" spans="2:7" ht="13.2">
      <c r="B845" s="43"/>
      <c r="C845" s="43"/>
      <c r="D845" s="76"/>
      <c r="E845" s="76"/>
      <c r="F845" s="43"/>
      <c r="G845" s="43"/>
    </row>
    <row r="846" spans="2:7" ht="13.2">
      <c r="B846" s="43"/>
      <c r="C846" s="43"/>
      <c r="D846" s="76"/>
      <c r="E846" s="76"/>
      <c r="F846" s="43"/>
      <c r="G846" s="43"/>
    </row>
    <row r="847" spans="2:7" ht="13.2">
      <c r="B847" s="43"/>
      <c r="C847" s="43"/>
      <c r="D847" s="76"/>
      <c r="E847" s="76"/>
      <c r="F847" s="43"/>
      <c r="G847" s="43"/>
    </row>
    <row r="848" spans="2:7" ht="13.2">
      <c r="B848" s="43"/>
      <c r="C848" s="43"/>
      <c r="D848" s="76"/>
      <c r="E848" s="76"/>
      <c r="F848" s="43"/>
      <c r="G848" s="43"/>
    </row>
    <row r="849" spans="2:7" ht="13.2">
      <c r="B849" s="43"/>
      <c r="C849" s="43"/>
      <c r="D849" s="76"/>
      <c r="E849" s="76"/>
      <c r="F849" s="43"/>
      <c r="G849" s="43"/>
    </row>
    <row r="850" spans="2:7" ht="13.2">
      <c r="B850" s="43"/>
      <c r="C850" s="43"/>
      <c r="D850" s="76"/>
      <c r="E850" s="76"/>
      <c r="F850" s="43"/>
      <c r="G850" s="43"/>
    </row>
    <row r="851" spans="2:7" ht="13.2">
      <c r="B851" s="43"/>
      <c r="C851" s="43"/>
      <c r="D851" s="76"/>
      <c r="E851" s="76"/>
      <c r="F851" s="43"/>
      <c r="G851" s="43"/>
    </row>
    <row r="852" spans="2:7" ht="13.2">
      <c r="B852" s="43"/>
      <c r="C852" s="43"/>
      <c r="D852" s="76"/>
      <c r="E852" s="76"/>
      <c r="F852" s="43"/>
      <c r="G852" s="43"/>
    </row>
    <row r="853" spans="2:7" ht="13.2">
      <c r="B853" s="43"/>
      <c r="C853" s="43"/>
      <c r="D853" s="76"/>
      <c r="E853" s="76"/>
      <c r="F853" s="43"/>
      <c r="G853" s="43"/>
    </row>
    <row r="854" spans="2:7" ht="13.2">
      <c r="B854" s="43"/>
      <c r="C854" s="43"/>
      <c r="D854" s="76"/>
      <c r="E854" s="76"/>
      <c r="F854" s="43"/>
      <c r="G854" s="43"/>
    </row>
    <row r="855" spans="2:7" ht="13.2">
      <c r="B855" s="43"/>
      <c r="C855" s="43"/>
      <c r="D855" s="76"/>
      <c r="E855" s="76"/>
      <c r="F855" s="43"/>
      <c r="G855" s="43"/>
    </row>
    <row r="856" spans="2:7" ht="13.2">
      <c r="B856" s="43"/>
      <c r="C856" s="43"/>
      <c r="D856" s="76"/>
      <c r="E856" s="76"/>
      <c r="F856" s="43"/>
      <c r="G856" s="43"/>
    </row>
    <row r="857" spans="2:7" ht="13.2">
      <c r="B857" s="43"/>
      <c r="C857" s="43"/>
      <c r="D857" s="76"/>
      <c r="E857" s="76"/>
      <c r="F857" s="43"/>
      <c r="G857" s="43"/>
    </row>
    <row r="858" spans="2:7" ht="13.2">
      <c r="B858" s="43"/>
      <c r="C858" s="43"/>
      <c r="D858" s="76"/>
      <c r="E858" s="76"/>
      <c r="F858" s="43"/>
      <c r="G858" s="43"/>
    </row>
    <row r="859" spans="2:7" ht="13.2">
      <c r="B859" s="43"/>
      <c r="C859" s="43"/>
      <c r="D859" s="76"/>
      <c r="E859" s="76"/>
      <c r="F859" s="43"/>
      <c r="G859" s="43"/>
    </row>
    <row r="860" spans="2:7" ht="13.2">
      <c r="B860" s="43"/>
      <c r="C860" s="43"/>
      <c r="D860" s="76"/>
      <c r="E860" s="76"/>
      <c r="F860" s="43"/>
      <c r="G860" s="43"/>
    </row>
    <row r="861" spans="2:7" ht="13.2">
      <c r="B861" s="43"/>
      <c r="C861" s="43"/>
      <c r="D861" s="76"/>
      <c r="E861" s="76"/>
      <c r="F861" s="43"/>
      <c r="G861" s="43"/>
    </row>
    <row r="862" spans="2:7" ht="13.2">
      <c r="B862" s="43"/>
      <c r="C862" s="43"/>
      <c r="D862" s="76"/>
      <c r="E862" s="76"/>
      <c r="F862" s="43"/>
      <c r="G862" s="43"/>
    </row>
    <row r="863" spans="2:7" ht="13.2">
      <c r="B863" s="43"/>
      <c r="C863" s="43"/>
      <c r="D863" s="76"/>
      <c r="E863" s="76"/>
      <c r="F863" s="43"/>
      <c r="G863" s="43"/>
    </row>
    <row r="864" spans="2:7" ht="13.2">
      <c r="B864" s="43"/>
      <c r="C864" s="43"/>
      <c r="D864" s="76"/>
      <c r="E864" s="76"/>
      <c r="F864" s="43"/>
      <c r="G864" s="43"/>
    </row>
    <row r="865" spans="2:7" ht="13.2">
      <c r="B865" s="43"/>
      <c r="C865" s="43"/>
      <c r="D865" s="76"/>
      <c r="E865" s="76"/>
      <c r="F865" s="43"/>
      <c r="G865" s="43"/>
    </row>
    <row r="866" spans="2:7" ht="13.2">
      <c r="B866" s="43"/>
      <c r="C866" s="43"/>
      <c r="D866" s="76"/>
      <c r="E866" s="76"/>
      <c r="F866" s="43"/>
      <c r="G866" s="43"/>
    </row>
    <row r="867" spans="2:7" ht="13.2">
      <c r="B867" s="43"/>
      <c r="C867" s="43"/>
      <c r="D867" s="76"/>
      <c r="E867" s="76"/>
      <c r="F867" s="43"/>
      <c r="G867" s="43"/>
    </row>
    <row r="868" spans="2:7" ht="13.2">
      <c r="B868" s="43"/>
      <c r="C868" s="43"/>
      <c r="D868" s="76"/>
      <c r="E868" s="76"/>
      <c r="F868" s="43"/>
      <c r="G868" s="43"/>
    </row>
    <row r="869" spans="2:7" ht="13.2">
      <c r="B869" s="43"/>
      <c r="C869" s="43"/>
      <c r="D869" s="76"/>
      <c r="E869" s="76"/>
      <c r="F869" s="43"/>
      <c r="G869" s="43"/>
    </row>
    <row r="870" spans="2:7" ht="13.2">
      <c r="B870" s="43"/>
      <c r="C870" s="43"/>
      <c r="D870" s="76"/>
      <c r="E870" s="76"/>
      <c r="F870" s="43"/>
      <c r="G870" s="43"/>
    </row>
    <row r="871" spans="2:7" ht="13.2">
      <c r="B871" s="43"/>
      <c r="C871" s="43"/>
      <c r="D871" s="76"/>
      <c r="E871" s="76"/>
      <c r="F871" s="43"/>
      <c r="G871" s="43"/>
    </row>
    <row r="872" spans="2:7" ht="13.2">
      <c r="B872" s="43"/>
      <c r="C872" s="43"/>
      <c r="D872" s="76"/>
      <c r="E872" s="76"/>
      <c r="F872" s="43"/>
      <c r="G872" s="43"/>
    </row>
    <row r="873" spans="2:7" ht="13.2">
      <c r="B873" s="43"/>
      <c r="C873" s="43"/>
      <c r="D873" s="76"/>
      <c r="E873" s="76"/>
      <c r="F873" s="43"/>
      <c r="G873" s="43"/>
    </row>
    <row r="874" spans="2:7" ht="13.2">
      <c r="B874" s="43"/>
      <c r="C874" s="43"/>
      <c r="D874" s="76"/>
      <c r="E874" s="76"/>
      <c r="F874" s="43"/>
      <c r="G874" s="43"/>
    </row>
    <row r="875" spans="2:7" ht="13.2">
      <c r="B875" s="43"/>
      <c r="C875" s="43"/>
      <c r="D875" s="76"/>
      <c r="E875" s="76"/>
      <c r="F875" s="43"/>
      <c r="G875" s="43"/>
    </row>
    <row r="876" spans="2:7" ht="13.2">
      <c r="B876" s="43"/>
      <c r="C876" s="43"/>
      <c r="D876" s="76"/>
      <c r="E876" s="76"/>
      <c r="F876" s="43"/>
      <c r="G876" s="43"/>
    </row>
    <row r="877" spans="2:7" ht="13.2">
      <c r="B877" s="43"/>
      <c r="C877" s="43"/>
      <c r="D877" s="76"/>
      <c r="E877" s="76"/>
      <c r="F877" s="43"/>
      <c r="G877" s="43"/>
    </row>
    <row r="878" spans="2:7" ht="13.2">
      <c r="B878" s="43"/>
      <c r="C878" s="43"/>
      <c r="D878" s="76"/>
      <c r="E878" s="76"/>
      <c r="F878" s="43"/>
      <c r="G878" s="43"/>
    </row>
    <row r="879" spans="2:7" ht="13.2">
      <c r="B879" s="43"/>
      <c r="C879" s="43"/>
      <c r="D879" s="76"/>
      <c r="E879" s="76"/>
      <c r="F879" s="43"/>
      <c r="G879" s="43"/>
    </row>
    <row r="880" spans="2:7" ht="13.2">
      <c r="B880" s="43"/>
      <c r="C880" s="43"/>
      <c r="D880" s="76"/>
      <c r="E880" s="76"/>
      <c r="F880" s="43"/>
      <c r="G880" s="43"/>
    </row>
    <row r="881" spans="2:7" ht="13.2">
      <c r="B881" s="43"/>
      <c r="C881" s="43"/>
      <c r="D881" s="76"/>
      <c r="E881" s="76"/>
      <c r="F881" s="43"/>
      <c r="G881" s="43"/>
    </row>
    <row r="882" spans="2:7" ht="13.2">
      <c r="B882" s="43"/>
      <c r="C882" s="43"/>
      <c r="D882" s="76"/>
      <c r="E882" s="76"/>
      <c r="F882" s="43"/>
      <c r="G882" s="43"/>
    </row>
    <row r="883" spans="2:7" ht="13.2">
      <c r="B883" s="43"/>
      <c r="C883" s="43"/>
      <c r="D883" s="76"/>
      <c r="E883" s="76"/>
      <c r="F883" s="43"/>
      <c r="G883" s="43"/>
    </row>
    <row r="884" spans="2:7" ht="13.2">
      <c r="B884" s="43"/>
      <c r="C884" s="43"/>
      <c r="D884" s="76"/>
      <c r="E884" s="76"/>
      <c r="F884" s="43"/>
      <c r="G884" s="43"/>
    </row>
    <row r="885" spans="2:7" ht="13.2">
      <c r="B885" s="43"/>
      <c r="C885" s="43"/>
      <c r="D885" s="76"/>
      <c r="E885" s="76"/>
      <c r="F885" s="43"/>
      <c r="G885" s="43"/>
    </row>
    <row r="886" spans="2:7" ht="13.2">
      <c r="B886" s="43"/>
      <c r="C886" s="43"/>
      <c r="D886" s="76"/>
      <c r="E886" s="76"/>
      <c r="F886" s="43"/>
      <c r="G886" s="43"/>
    </row>
    <row r="887" spans="2:7" ht="13.2">
      <c r="B887" s="43"/>
      <c r="C887" s="43"/>
      <c r="D887" s="76"/>
      <c r="E887" s="76"/>
      <c r="F887" s="43"/>
      <c r="G887" s="43"/>
    </row>
    <row r="888" spans="2:7" ht="13.2">
      <c r="B888" s="43"/>
      <c r="C888" s="43"/>
      <c r="D888" s="76"/>
      <c r="E888" s="76"/>
      <c r="F888" s="43"/>
      <c r="G888" s="43"/>
    </row>
    <row r="889" spans="2:7" ht="13.2">
      <c r="B889" s="43"/>
      <c r="C889" s="43"/>
      <c r="D889" s="76"/>
      <c r="E889" s="76"/>
      <c r="F889" s="43"/>
      <c r="G889" s="43"/>
    </row>
    <row r="890" spans="2:7" ht="13.2">
      <c r="B890" s="43"/>
      <c r="C890" s="43"/>
      <c r="D890" s="76"/>
      <c r="E890" s="76"/>
      <c r="F890" s="43"/>
      <c r="G890" s="43"/>
    </row>
    <row r="891" spans="2:7" ht="13.2">
      <c r="B891" s="43"/>
      <c r="C891" s="43"/>
      <c r="D891" s="76"/>
      <c r="E891" s="76"/>
      <c r="F891" s="43"/>
      <c r="G891" s="43"/>
    </row>
    <row r="892" spans="2:7" ht="13.2">
      <c r="B892" s="43"/>
      <c r="C892" s="43"/>
      <c r="D892" s="76"/>
      <c r="E892" s="76"/>
      <c r="F892" s="43"/>
      <c r="G892" s="43"/>
    </row>
    <row r="893" spans="2:7" ht="13.2">
      <c r="B893" s="43"/>
      <c r="C893" s="43"/>
      <c r="D893" s="76"/>
      <c r="E893" s="76"/>
      <c r="F893" s="43"/>
      <c r="G893" s="43"/>
    </row>
    <row r="894" spans="2:7" ht="13.2">
      <c r="B894" s="43"/>
      <c r="C894" s="43"/>
      <c r="D894" s="76"/>
      <c r="E894" s="76"/>
      <c r="F894" s="43"/>
      <c r="G894" s="43"/>
    </row>
    <row r="895" spans="2:7" ht="13.2">
      <c r="B895" s="43"/>
      <c r="C895" s="43"/>
      <c r="D895" s="76"/>
      <c r="E895" s="76"/>
      <c r="F895" s="43"/>
      <c r="G895" s="43"/>
    </row>
    <row r="896" spans="2:7" ht="13.2">
      <c r="B896" s="43"/>
      <c r="C896" s="43"/>
      <c r="D896" s="76"/>
      <c r="E896" s="76"/>
      <c r="F896" s="43"/>
      <c r="G896" s="43"/>
    </row>
    <row r="897" spans="2:7" ht="13.2">
      <c r="B897" s="43"/>
      <c r="C897" s="43"/>
      <c r="D897" s="76"/>
      <c r="E897" s="76"/>
      <c r="F897" s="43"/>
      <c r="G897" s="43"/>
    </row>
    <row r="898" spans="2:7" ht="13.2">
      <c r="B898" s="43"/>
      <c r="C898" s="43"/>
      <c r="D898" s="76"/>
      <c r="E898" s="76"/>
      <c r="F898" s="43"/>
      <c r="G898" s="43"/>
    </row>
    <row r="899" spans="2:7" ht="13.2">
      <c r="B899" s="43"/>
      <c r="C899" s="43"/>
      <c r="D899" s="76"/>
      <c r="E899" s="76"/>
      <c r="F899" s="43"/>
      <c r="G899" s="43"/>
    </row>
    <row r="900" spans="2:7" ht="13.2">
      <c r="B900" s="43"/>
      <c r="C900" s="43"/>
      <c r="D900" s="76"/>
      <c r="E900" s="76"/>
      <c r="F900" s="43"/>
      <c r="G900" s="43"/>
    </row>
    <row r="901" spans="2:7" ht="13.2">
      <c r="B901" s="43"/>
      <c r="C901" s="43"/>
      <c r="D901" s="76"/>
      <c r="E901" s="76"/>
      <c r="F901" s="43"/>
      <c r="G901" s="43"/>
    </row>
    <row r="902" spans="2:7" ht="13.2">
      <c r="B902" s="43"/>
      <c r="C902" s="43"/>
      <c r="D902" s="76"/>
      <c r="E902" s="76"/>
      <c r="F902" s="43"/>
      <c r="G902" s="43"/>
    </row>
    <row r="903" spans="2:7" ht="13.2">
      <c r="B903" s="43"/>
      <c r="C903" s="43"/>
      <c r="D903" s="76"/>
      <c r="E903" s="76"/>
      <c r="F903" s="43"/>
      <c r="G903" s="43"/>
    </row>
    <row r="904" spans="2:7" ht="13.2">
      <c r="B904" s="43"/>
      <c r="C904" s="43"/>
      <c r="D904" s="76"/>
      <c r="E904" s="76"/>
      <c r="F904" s="43"/>
      <c r="G904" s="43"/>
    </row>
    <row r="905" spans="2:7" ht="13.2">
      <c r="B905" s="43"/>
      <c r="C905" s="43"/>
      <c r="D905" s="76"/>
      <c r="E905" s="76"/>
      <c r="F905" s="43"/>
      <c r="G905" s="43"/>
    </row>
    <row r="906" spans="2:7" ht="13.2">
      <c r="B906" s="43"/>
      <c r="C906" s="43"/>
      <c r="D906" s="76"/>
      <c r="E906" s="76"/>
      <c r="F906" s="43"/>
      <c r="G906" s="43"/>
    </row>
    <row r="907" spans="2:7" ht="13.2">
      <c r="B907" s="43"/>
      <c r="C907" s="43"/>
      <c r="D907" s="76"/>
      <c r="E907" s="76"/>
      <c r="F907" s="43"/>
      <c r="G907" s="43"/>
    </row>
    <row r="908" spans="2:7" ht="13.2">
      <c r="B908" s="43"/>
      <c r="C908" s="43"/>
      <c r="D908" s="76"/>
      <c r="E908" s="76"/>
      <c r="F908" s="43"/>
      <c r="G908" s="43"/>
    </row>
    <row r="909" spans="2:7" ht="13.2">
      <c r="B909" s="43"/>
      <c r="C909" s="43"/>
      <c r="D909" s="76"/>
      <c r="E909" s="76"/>
      <c r="F909" s="43"/>
      <c r="G909" s="43"/>
    </row>
    <row r="910" spans="2:7" ht="13.2">
      <c r="B910" s="43"/>
      <c r="C910" s="43"/>
      <c r="D910" s="76"/>
      <c r="E910" s="76"/>
      <c r="F910" s="43"/>
      <c r="G910" s="43"/>
    </row>
    <row r="911" spans="2:7" ht="13.2">
      <c r="B911" s="43"/>
      <c r="C911" s="43"/>
      <c r="D911" s="76"/>
      <c r="E911" s="76"/>
      <c r="F911" s="43"/>
      <c r="G911" s="43"/>
    </row>
    <row r="912" spans="2:7" ht="13.2">
      <c r="B912" s="43"/>
      <c r="C912" s="43"/>
      <c r="D912" s="76"/>
      <c r="E912" s="76"/>
      <c r="F912" s="43"/>
      <c r="G912" s="43"/>
    </row>
    <row r="913" spans="2:7" ht="13.2">
      <c r="B913" s="43"/>
      <c r="C913" s="43"/>
      <c r="D913" s="76"/>
      <c r="E913" s="76"/>
      <c r="F913" s="43"/>
      <c r="G913" s="43"/>
    </row>
    <row r="914" spans="2:7" ht="13.2">
      <c r="B914" s="43"/>
      <c r="C914" s="43"/>
      <c r="D914" s="76"/>
      <c r="E914" s="76"/>
      <c r="F914" s="43"/>
      <c r="G914" s="43"/>
    </row>
    <row r="915" spans="2:7" ht="13.2">
      <c r="B915" s="43"/>
      <c r="C915" s="43"/>
      <c r="D915" s="76"/>
      <c r="E915" s="76"/>
      <c r="F915" s="43"/>
      <c r="G915" s="43"/>
    </row>
    <row r="916" spans="2:7" ht="13.2">
      <c r="B916" s="43"/>
      <c r="C916" s="43"/>
      <c r="D916" s="76"/>
      <c r="E916" s="76"/>
      <c r="F916" s="43"/>
      <c r="G916" s="43"/>
    </row>
    <row r="917" spans="2:7" ht="13.2">
      <c r="B917" s="43"/>
      <c r="C917" s="43"/>
      <c r="D917" s="76"/>
      <c r="E917" s="76"/>
      <c r="F917" s="43"/>
      <c r="G917" s="43"/>
    </row>
    <row r="918" spans="2:7" ht="13.2">
      <c r="B918" s="43"/>
      <c r="C918" s="43"/>
      <c r="D918" s="76"/>
      <c r="E918" s="76"/>
      <c r="F918" s="43"/>
      <c r="G918" s="43"/>
    </row>
    <row r="919" spans="2:7" ht="13.2">
      <c r="B919" s="43"/>
      <c r="C919" s="43"/>
      <c r="D919" s="76"/>
      <c r="E919" s="76"/>
      <c r="F919" s="43"/>
      <c r="G919" s="43"/>
    </row>
    <row r="920" spans="2:7" ht="13.2">
      <c r="B920" s="43"/>
      <c r="C920" s="43"/>
      <c r="D920" s="76"/>
      <c r="E920" s="76"/>
      <c r="F920" s="43"/>
      <c r="G920" s="43"/>
    </row>
    <row r="921" spans="2:7" ht="13.2">
      <c r="B921" s="43"/>
      <c r="C921" s="43"/>
      <c r="D921" s="76"/>
      <c r="E921" s="76"/>
      <c r="F921" s="43"/>
      <c r="G921" s="43"/>
    </row>
    <row r="922" spans="2:7" ht="13.2">
      <c r="B922" s="43"/>
      <c r="C922" s="43"/>
      <c r="D922" s="76"/>
      <c r="E922" s="76"/>
      <c r="F922" s="43"/>
      <c r="G922" s="43"/>
    </row>
    <row r="923" spans="2:7" ht="13.2">
      <c r="B923" s="43"/>
      <c r="C923" s="43"/>
      <c r="D923" s="76"/>
      <c r="E923" s="76"/>
      <c r="F923" s="43"/>
      <c r="G923" s="43"/>
    </row>
    <row r="924" spans="2:7" ht="13.2">
      <c r="B924" s="43"/>
      <c r="C924" s="43"/>
      <c r="D924" s="76"/>
      <c r="E924" s="76"/>
      <c r="F924" s="43"/>
      <c r="G924" s="43"/>
    </row>
    <row r="925" spans="2:7" ht="13.2">
      <c r="B925" s="43"/>
      <c r="C925" s="43"/>
      <c r="D925" s="76"/>
      <c r="E925" s="76"/>
      <c r="F925" s="43"/>
      <c r="G925" s="43"/>
    </row>
    <row r="926" spans="2:7" ht="13.2">
      <c r="B926" s="43"/>
      <c r="C926" s="43"/>
      <c r="D926" s="76"/>
      <c r="E926" s="76"/>
      <c r="F926" s="43"/>
      <c r="G926" s="43"/>
    </row>
    <row r="927" spans="2:7" ht="13.2">
      <c r="B927" s="43"/>
      <c r="C927" s="43"/>
      <c r="D927" s="76"/>
      <c r="E927" s="76"/>
      <c r="F927" s="43"/>
      <c r="G927" s="43"/>
    </row>
    <row r="928" spans="2:7" ht="13.2">
      <c r="B928" s="43"/>
      <c r="C928" s="43"/>
      <c r="D928" s="76"/>
      <c r="E928" s="76"/>
      <c r="F928" s="43"/>
      <c r="G928" s="43"/>
    </row>
    <row r="929" spans="2:7" ht="13.2">
      <c r="B929" s="43"/>
      <c r="C929" s="43"/>
      <c r="D929" s="76"/>
      <c r="E929" s="76"/>
      <c r="F929" s="43"/>
      <c r="G929" s="43"/>
    </row>
    <row r="930" spans="2:7" ht="13.2">
      <c r="B930" s="43"/>
      <c r="C930" s="43"/>
      <c r="D930" s="76"/>
      <c r="E930" s="76"/>
      <c r="F930" s="43"/>
      <c r="G930" s="43"/>
    </row>
    <row r="931" spans="2:7" ht="13.2">
      <c r="B931" s="43"/>
      <c r="C931" s="43"/>
      <c r="D931" s="76"/>
      <c r="E931" s="76"/>
      <c r="F931" s="43"/>
      <c r="G931" s="43"/>
    </row>
    <row r="932" spans="2:7" ht="13.2">
      <c r="B932" s="43"/>
      <c r="C932" s="43"/>
      <c r="D932" s="76"/>
      <c r="E932" s="76"/>
      <c r="F932" s="43"/>
      <c r="G932" s="43"/>
    </row>
    <row r="933" spans="2:7" ht="13.2">
      <c r="B933" s="43"/>
      <c r="C933" s="43"/>
      <c r="D933" s="76"/>
      <c r="E933" s="76"/>
      <c r="F933" s="43"/>
      <c r="G933" s="43"/>
    </row>
    <row r="934" spans="2:7" ht="13.2">
      <c r="B934" s="43"/>
      <c r="C934" s="43"/>
      <c r="D934" s="76"/>
      <c r="E934" s="76"/>
      <c r="F934" s="43"/>
      <c r="G934" s="43"/>
    </row>
    <row r="935" spans="2:7" ht="13.2">
      <c r="B935" s="43"/>
      <c r="C935" s="43"/>
      <c r="D935" s="76"/>
      <c r="E935" s="76"/>
      <c r="F935" s="43"/>
      <c r="G935" s="43"/>
    </row>
    <row r="936" spans="2:7" ht="13.2">
      <c r="B936" s="43"/>
      <c r="C936" s="43"/>
      <c r="D936" s="76"/>
      <c r="E936" s="76"/>
      <c r="F936" s="43"/>
      <c r="G936" s="43"/>
    </row>
    <row r="937" spans="2:7" ht="13.2">
      <c r="B937" s="43"/>
      <c r="C937" s="43"/>
      <c r="D937" s="76"/>
      <c r="E937" s="76"/>
      <c r="F937" s="43"/>
      <c r="G937" s="43"/>
    </row>
    <row r="938" spans="2:7" ht="13.2">
      <c r="B938" s="43"/>
      <c r="C938" s="43"/>
      <c r="D938" s="76"/>
      <c r="E938" s="76"/>
      <c r="F938" s="43"/>
      <c r="G938" s="43"/>
    </row>
    <row r="939" spans="2:7" ht="13.2">
      <c r="B939" s="43"/>
      <c r="C939" s="43"/>
      <c r="D939" s="76"/>
      <c r="E939" s="76"/>
      <c r="F939" s="43"/>
      <c r="G939" s="43"/>
    </row>
    <row r="940" spans="2:7" ht="13.2">
      <c r="B940" s="43"/>
      <c r="C940" s="43"/>
      <c r="D940" s="76"/>
      <c r="E940" s="76"/>
      <c r="F940" s="43"/>
      <c r="G940" s="43"/>
    </row>
    <row r="941" spans="2:7" ht="13.2">
      <c r="B941" s="43"/>
      <c r="C941" s="43"/>
      <c r="D941" s="76"/>
      <c r="E941" s="76"/>
      <c r="F941" s="43"/>
      <c r="G941" s="43"/>
    </row>
    <row r="942" spans="2:7" ht="13.2">
      <c r="B942" s="43"/>
      <c r="C942" s="43"/>
      <c r="D942" s="76"/>
      <c r="E942" s="76"/>
      <c r="F942" s="43"/>
      <c r="G942" s="43"/>
    </row>
    <row r="943" spans="2:7" ht="13.2">
      <c r="B943" s="43"/>
      <c r="C943" s="43"/>
      <c r="D943" s="76"/>
      <c r="E943" s="76"/>
      <c r="F943" s="43"/>
      <c r="G943" s="43"/>
    </row>
    <row r="944" spans="2:7" ht="13.2">
      <c r="B944" s="43"/>
      <c r="C944" s="43"/>
      <c r="D944" s="76"/>
      <c r="E944" s="76"/>
      <c r="F944" s="43"/>
      <c r="G944" s="43"/>
    </row>
    <row r="945" spans="2:7" ht="13.2">
      <c r="B945" s="43"/>
      <c r="C945" s="43"/>
      <c r="D945" s="76"/>
      <c r="E945" s="76"/>
      <c r="F945" s="43"/>
      <c r="G945" s="43"/>
    </row>
    <row r="946" spans="2:7" ht="13.2">
      <c r="B946" s="43"/>
      <c r="C946" s="43"/>
      <c r="D946" s="76"/>
      <c r="E946" s="76"/>
      <c r="F946" s="43"/>
      <c r="G946" s="43"/>
    </row>
    <row r="947" spans="2:7" ht="13.2">
      <c r="B947" s="43"/>
      <c r="C947" s="43"/>
      <c r="D947" s="76"/>
      <c r="E947" s="76"/>
      <c r="F947" s="43"/>
      <c r="G947" s="43"/>
    </row>
    <row r="948" spans="2:7" ht="13.2">
      <c r="B948" s="43"/>
      <c r="C948" s="43"/>
      <c r="D948" s="76"/>
      <c r="E948" s="76"/>
      <c r="F948" s="43"/>
      <c r="G948" s="43"/>
    </row>
    <row r="949" spans="2:7" ht="13.2">
      <c r="B949" s="43"/>
      <c r="C949" s="43"/>
      <c r="D949" s="76"/>
      <c r="E949" s="76"/>
      <c r="F949" s="43"/>
      <c r="G949" s="43"/>
    </row>
    <row r="950" spans="2:7" ht="13.2">
      <c r="B950" s="43"/>
      <c r="C950" s="43"/>
      <c r="D950" s="76"/>
      <c r="E950" s="76"/>
      <c r="F950" s="43"/>
      <c r="G950" s="43"/>
    </row>
    <row r="951" spans="2:7" ht="13.2">
      <c r="B951" s="43"/>
      <c r="C951" s="43"/>
      <c r="D951" s="76"/>
      <c r="E951" s="76"/>
      <c r="F951" s="43"/>
      <c r="G951" s="43"/>
    </row>
    <row r="952" spans="2:7" ht="13.2">
      <c r="B952" s="43"/>
      <c r="C952" s="43"/>
      <c r="D952" s="76"/>
      <c r="E952" s="76"/>
      <c r="F952" s="43"/>
      <c r="G952" s="43"/>
    </row>
    <row r="953" spans="2:7" ht="13.2">
      <c r="B953" s="43"/>
      <c r="C953" s="43"/>
      <c r="D953" s="76"/>
      <c r="E953" s="76"/>
      <c r="F953" s="43"/>
      <c r="G953" s="43"/>
    </row>
    <row r="954" spans="2:7" ht="13.2">
      <c r="B954" s="43"/>
      <c r="C954" s="43"/>
      <c r="D954" s="76"/>
      <c r="E954" s="76"/>
      <c r="F954" s="43"/>
      <c r="G954" s="43"/>
    </row>
    <row r="955" spans="2:7" ht="13.2">
      <c r="B955" s="43"/>
      <c r="C955" s="43"/>
      <c r="D955" s="76"/>
      <c r="E955" s="76"/>
      <c r="F955" s="43"/>
      <c r="G955" s="43"/>
    </row>
    <row r="956" spans="2:7" ht="13.2">
      <c r="B956" s="43"/>
      <c r="C956" s="43"/>
      <c r="D956" s="76"/>
      <c r="E956" s="76"/>
      <c r="F956" s="43"/>
      <c r="G956" s="43"/>
    </row>
    <row r="957" spans="2:7" ht="13.2">
      <c r="B957" s="43"/>
      <c r="C957" s="43"/>
      <c r="D957" s="76"/>
      <c r="E957" s="76"/>
      <c r="F957" s="43"/>
      <c r="G957" s="43"/>
    </row>
    <row r="958" spans="2:7" ht="13.2">
      <c r="B958" s="43"/>
      <c r="C958" s="43"/>
      <c r="D958" s="76"/>
      <c r="E958" s="76"/>
      <c r="F958" s="43"/>
      <c r="G958" s="43"/>
    </row>
    <row r="959" spans="2:7" ht="13.2">
      <c r="B959" s="43"/>
      <c r="C959" s="43"/>
      <c r="D959" s="76"/>
      <c r="E959" s="76"/>
      <c r="F959" s="43"/>
      <c r="G959" s="43"/>
    </row>
    <row r="960" spans="2:7" ht="13.2">
      <c r="B960" s="43"/>
      <c r="C960" s="43"/>
      <c r="D960" s="76"/>
      <c r="E960" s="76"/>
      <c r="F960" s="43"/>
      <c r="G960" s="43"/>
    </row>
    <row r="961" spans="2:7" ht="13.2">
      <c r="B961" s="43"/>
      <c r="C961" s="43"/>
      <c r="D961" s="76"/>
      <c r="E961" s="76"/>
      <c r="F961" s="43"/>
      <c r="G961" s="43"/>
    </row>
    <row r="962" spans="2:7" ht="13.2">
      <c r="B962" s="43"/>
      <c r="C962" s="43"/>
      <c r="D962" s="76"/>
      <c r="E962" s="76"/>
      <c r="F962" s="43"/>
      <c r="G962" s="43"/>
    </row>
    <row r="963" spans="2:7" ht="13.2">
      <c r="B963" s="43"/>
      <c r="C963" s="43"/>
      <c r="D963" s="76"/>
      <c r="E963" s="76"/>
      <c r="F963" s="43"/>
      <c r="G963" s="43"/>
    </row>
    <row r="964" spans="2:7" ht="13.2">
      <c r="B964" s="43"/>
      <c r="C964" s="43"/>
      <c r="D964" s="76"/>
      <c r="E964" s="76"/>
      <c r="F964" s="43"/>
      <c r="G964" s="43"/>
    </row>
    <row r="965" spans="2:7" ht="13.2">
      <c r="B965" s="43"/>
      <c r="C965" s="43"/>
      <c r="D965" s="76"/>
      <c r="E965" s="76"/>
      <c r="F965" s="43"/>
      <c r="G965" s="43"/>
    </row>
    <row r="966" spans="2:7" ht="13.2">
      <c r="B966" s="43"/>
      <c r="C966" s="43"/>
      <c r="D966" s="76"/>
      <c r="E966" s="76"/>
      <c r="F966" s="43"/>
      <c r="G966" s="43"/>
    </row>
    <row r="967" spans="2:7" ht="13.2">
      <c r="B967" s="43"/>
      <c r="C967" s="43"/>
      <c r="D967" s="76"/>
      <c r="E967" s="76"/>
      <c r="F967" s="43"/>
      <c r="G967" s="43"/>
    </row>
    <row r="968" spans="2:7" ht="13.2">
      <c r="B968" s="43"/>
      <c r="C968" s="43"/>
      <c r="D968" s="76"/>
      <c r="E968" s="76"/>
      <c r="F968" s="43"/>
      <c r="G968" s="43"/>
    </row>
    <row r="969" spans="2:7" ht="13.2">
      <c r="B969" s="43"/>
      <c r="C969" s="43"/>
      <c r="D969" s="76"/>
      <c r="E969" s="76"/>
      <c r="F969" s="43"/>
      <c r="G969" s="43"/>
    </row>
    <row r="970" spans="2:7" ht="13.2">
      <c r="B970" s="43"/>
      <c r="C970" s="43"/>
      <c r="D970" s="76"/>
      <c r="E970" s="76"/>
      <c r="F970" s="43"/>
      <c r="G970" s="43"/>
    </row>
    <row r="971" spans="2:7" ht="13.2">
      <c r="B971" s="43"/>
      <c r="C971" s="43"/>
      <c r="D971" s="76"/>
      <c r="E971" s="76"/>
      <c r="F971" s="43"/>
      <c r="G971" s="43"/>
    </row>
    <row r="972" spans="2:7" ht="13.2">
      <c r="B972" s="43"/>
      <c r="C972" s="43"/>
      <c r="D972" s="76"/>
      <c r="E972" s="76"/>
      <c r="F972" s="43"/>
      <c r="G972" s="43"/>
    </row>
    <row r="973" spans="2:7" ht="13.2">
      <c r="B973" s="43"/>
      <c r="C973" s="43"/>
      <c r="D973" s="76"/>
      <c r="E973" s="76"/>
      <c r="F973" s="43"/>
      <c r="G973" s="43"/>
    </row>
    <row r="974" spans="2:7" ht="13.2">
      <c r="B974" s="43"/>
      <c r="C974" s="43"/>
      <c r="D974" s="76"/>
      <c r="E974" s="76"/>
      <c r="F974" s="43"/>
      <c r="G974" s="43"/>
    </row>
  </sheetData>
  <phoneticPr fontId="2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4:L24"/>
  <sheetViews>
    <sheetView showGridLines="0" topLeftCell="A13" zoomScale="78" workbookViewId="0">
      <selection activeCell="H8" sqref="H8"/>
    </sheetView>
  </sheetViews>
  <sheetFormatPr defaultColWidth="17" defaultRowHeight="20.399999999999999"/>
  <cols>
    <col min="1" max="3" width="17" style="87"/>
    <col min="4" max="4" width="17" style="83"/>
    <col min="5" max="5" width="17" style="84"/>
    <col min="6" max="6" width="21.6640625" style="84" customWidth="1"/>
    <col min="7" max="7" width="27.6640625" style="84" customWidth="1"/>
    <col min="8" max="12" width="17" style="87"/>
    <col min="13" max="13" width="23.33203125" style="87" customWidth="1"/>
    <col min="14" max="16384" width="17" style="87"/>
  </cols>
  <sheetData>
    <row r="4" spans="3:12">
      <c r="C4" s="86" t="s">
        <v>132</v>
      </c>
      <c r="D4" s="83" t="s">
        <v>110</v>
      </c>
      <c r="E4" s="84" t="s">
        <v>111</v>
      </c>
      <c r="F4" s="88" t="s">
        <v>134</v>
      </c>
      <c r="G4" s="84" t="s">
        <v>136</v>
      </c>
      <c r="I4" s="87" t="s">
        <v>48</v>
      </c>
      <c r="J4" s="87" t="s">
        <v>137</v>
      </c>
      <c r="K4" s="87" t="s">
        <v>133</v>
      </c>
      <c r="L4" s="87" t="s">
        <v>135</v>
      </c>
    </row>
    <row r="5" spans="3:12">
      <c r="C5" s="85" t="s">
        <v>112</v>
      </c>
      <c r="D5" s="83">
        <f t="shared" ref="D5:D24" ca="1" si="0">RANDBETWEEN(0,1)</f>
        <v>1</v>
      </c>
      <c r="E5" s="84">
        <f t="shared" ref="E5:E24" ca="1" si="1">RAND()</f>
        <v>0.28078080650287895</v>
      </c>
      <c r="F5" s="84">
        <f t="shared" ref="F5:F24" ca="1" si="2">-D5*LN(E5)</f>
        <v>1.2701809620766229</v>
      </c>
      <c r="G5" s="84">
        <f t="shared" ref="G5:G24" ca="1" si="3">-(1-D5)*LN(1-E5)</f>
        <v>0</v>
      </c>
      <c r="I5" s="87">
        <v>0</v>
      </c>
      <c r="J5" s="87">
        <v>0.65093155694235783</v>
      </c>
      <c r="K5" s="87">
        <v>0</v>
      </c>
      <c r="L5" s="87">
        <v>1.0524872640941225</v>
      </c>
    </row>
    <row r="6" spans="3:12">
      <c r="C6" s="85" t="s">
        <v>113</v>
      </c>
      <c r="D6" s="83">
        <f t="shared" ca="1" si="0"/>
        <v>1</v>
      </c>
      <c r="E6" s="84">
        <f t="shared" ca="1" si="1"/>
        <v>0.61968240289053378</v>
      </c>
      <c r="F6" s="84">
        <f t="shared" ca="1" si="2"/>
        <v>0.47854818559196172</v>
      </c>
      <c r="G6" s="84">
        <f t="shared" ca="1" si="3"/>
        <v>0</v>
      </c>
      <c r="I6" s="87">
        <v>0</v>
      </c>
      <c r="J6" s="87">
        <v>0.82873766203579324</v>
      </c>
      <c r="K6" s="87">
        <v>0</v>
      </c>
      <c r="L6" s="87">
        <v>1.7645587579287105</v>
      </c>
    </row>
    <row r="7" spans="3:12">
      <c r="C7" s="85" t="s">
        <v>114</v>
      </c>
      <c r="D7" s="83">
        <f t="shared" ca="1" si="0"/>
        <v>0</v>
      </c>
      <c r="E7" s="84">
        <f t="shared" ca="1" si="1"/>
        <v>0.1378501020369064</v>
      </c>
      <c r="F7" s="84">
        <f t="shared" ca="1" si="2"/>
        <v>0</v>
      </c>
      <c r="G7" s="84">
        <f t="shared" ca="1" si="3"/>
        <v>0.14832612788768981</v>
      </c>
      <c r="I7" s="87">
        <v>0</v>
      </c>
      <c r="J7" s="87">
        <v>0.44536049905311881</v>
      </c>
      <c r="K7" s="87">
        <v>0</v>
      </c>
      <c r="L7" s="87">
        <v>0.58943692412675563</v>
      </c>
    </row>
    <row r="8" spans="3:12">
      <c r="C8" s="85" t="s">
        <v>115</v>
      </c>
      <c r="D8" s="83">
        <f t="shared" ca="1" si="0"/>
        <v>1</v>
      </c>
      <c r="E8" s="84">
        <f t="shared" ca="1" si="1"/>
        <v>0.90868617283258479</v>
      </c>
      <c r="F8" s="84">
        <f t="shared" ca="1" si="2"/>
        <v>9.5755488823827173E-2</v>
      </c>
      <c r="G8" s="84">
        <f t="shared" ca="1" si="3"/>
        <v>0</v>
      </c>
      <c r="I8" s="87">
        <v>0</v>
      </c>
      <c r="J8" s="87">
        <v>0.90479147307203256</v>
      </c>
      <c r="K8" s="87">
        <v>0</v>
      </c>
      <c r="L8" s="87">
        <v>2.351685772624756</v>
      </c>
    </row>
    <row r="9" spans="3:12">
      <c r="C9" s="85" t="s">
        <v>116</v>
      </c>
      <c r="D9" s="83">
        <f t="shared" ca="1" si="0"/>
        <v>1</v>
      </c>
      <c r="E9" s="84">
        <f t="shared" ca="1" si="1"/>
        <v>0.77847599344881213</v>
      </c>
      <c r="F9" s="84">
        <f t="shared" ca="1" si="2"/>
        <v>0.25041712511507142</v>
      </c>
      <c r="G9" s="84">
        <f t="shared" ca="1" si="3"/>
        <v>0</v>
      </c>
      <c r="I9" s="87">
        <v>0</v>
      </c>
      <c r="J9" s="87">
        <v>0.73594026071645968</v>
      </c>
      <c r="K9" s="87">
        <v>0</v>
      </c>
      <c r="L9" s="87">
        <v>1.3315799162695217</v>
      </c>
    </row>
    <row r="10" spans="3:12">
      <c r="C10" s="85" t="s">
        <v>117</v>
      </c>
      <c r="D10" s="83">
        <f t="shared" ca="1" si="0"/>
        <v>1</v>
      </c>
      <c r="E10" s="84">
        <f t="shared" ca="1" si="1"/>
        <v>9.5799198713051537E-2</v>
      </c>
      <c r="F10" s="84">
        <f t="shared" ca="1" si="2"/>
        <v>2.3455009582046911</v>
      </c>
      <c r="G10" s="84">
        <f t="shared" ca="1" si="3"/>
        <v>0</v>
      </c>
      <c r="I10" s="87">
        <v>0</v>
      </c>
      <c r="J10" s="87">
        <v>0.1404211589535872</v>
      </c>
      <c r="K10" s="87">
        <v>0</v>
      </c>
      <c r="L10" s="87">
        <v>0.15131272939991947</v>
      </c>
    </row>
    <row r="11" spans="3:12">
      <c r="C11" s="85" t="s">
        <v>118</v>
      </c>
      <c r="D11" s="83">
        <f t="shared" ca="1" si="0"/>
        <v>0</v>
      </c>
      <c r="E11" s="84">
        <f t="shared" ca="1" si="1"/>
        <v>0.30460109370499233</v>
      </c>
      <c r="F11" s="84">
        <f t="shared" ca="1" si="2"/>
        <v>0</v>
      </c>
      <c r="G11" s="84">
        <f t="shared" ca="1" si="3"/>
        <v>0.36326963218066882</v>
      </c>
      <c r="I11" s="87">
        <v>0</v>
      </c>
      <c r="J11" s="87">
        <v>0.62070042897056543</v>
      </c>
      <c r="K11" s="87">
        <v>0</v>
      </c>
      <c r="L11" s="87">
        <v>0.96942896124116729</v>
      </c>
    </row>
    <row r="12" spans="3:12">
      <c r="C12" s="85" t="s">
        <v>119</v>
      </c>
      <c r="D12" s="83">
        <f t="shared" ca="1" si="0"/>
        <v>1</v>
      </c>
      <c r="E12" s="84">
        <f t="shared" ca="1" si="1"/>
        <v>0.5569664013483423</v>
      </c>
      <c r="F12" s="84">
        <f t="shared" ca="1" si="2"/>
        <v>0.58525036161328425</v>
      </c>
      <c r="G12" s="84">
        <f t="shared" ca="1" si="3"/>
        <v>0</v>
      </c>
      <c r="I12" s="87">
        <v>0</v>
      </c>
      <c r="J12" s="87">
        <v>0.81290991792286582</v>
      </c>
      <c r="K12" s="87">
        <v>0</v>
      </c>
      <c r="L12" s="87">
        <v>1.6761650557808909</v>
      </c>
    </row>
    <row r="13" spans="3:12">
      <c r="C13" s="85" t="s">
        <v>120</v>
      </c>
      <c r="D13" s="83">
        <f t="shared" ca="1" si="0"/>
        <v>0</v>
      </c>
      <c r="E13" s="84">
        <f t="shared" ca="1" si="1"/>
        <v>0.51019509625388182</v>
      </c>
      <c r="F13" s="84">
        <f t="shared" ca="1" si="2"/>
        <v>0</v>
      </c>
      <c r="G13" s="84">
        <f t="shared" ca="1" si="3"/>
        <v>0.71374812278262656</v>
      </c>
      <c r="I13" s="87">
        <v>0</v>
      </c>
      <c r="J13" s="87">
        <v>0.49420241075943616</v>
      </c>
      <c r="K13" s="87">
        <v>0</v>
      </c>
      <c r="L13" s="87">
        <v>0.68161871098822824</v>
      </c>
    </row>
    <row r="14" spans="3:12">
      <c r="C14" s="85" t="s">
        <v>121</v>
      </c>
      <c r="D14" s="83">
        <f t="shared" ca="1" si="0"/>
        <v>0</v>
      </c>
      <c r="E14" s="84">
        <f t="shared" ca="1" si="1"/>
        <v>0.35938922759096814</v>
      </c>
      <c r="F14" s="84">
        <f t="shared" ca="1" si="2"/>
        <v>0</v>
      </c>
      <c r="G14" s="84">
        <f t="shared" ca="1" si="3"/>
        <v>0.44533322582447266</v>
      </c>
      <c r="I14" s="87">
        <v>0</v>
      </c>
      <c r="J14" s="87">
        <v>0.75388067383402424</v>
      </c>
      <c r="K14" s="87">
        <v>0</v>
      </c>
      <c r="L14" s="87">
        <v>1.40193879494077</v>
      </c>
    </row>
    <row r="15" spans="3:12">
      <c r="C15" s="85" t="s">
        <v>122</v>
      </c>
      <c r="D15" s="83">
        <f t="shared" ca="1" si="0"/>
        <v>1</v>
      </c>
      <c r="E15" s="84">
        <f t="shared" ca="1" si="1"/>
        <v>0.56369311511101905</v>
      </c>
      <c r="F15" s="84">
        <f t="shared" ca="1" si="2"/>
        <v>0.5732452977158361</v>
      </c>
      <c r="G15" s="84">
        <f t="shared" ca="1" si="3"/>
        <v>0</v>
      </c>
      <c r="I15" s="87">
        <v>0</v>
      </c>
      <c r="J15" s="87">
        <v>0.94739346266493552</v>
      </c>
      <c r="K15" s="87">
        <v>0</v>
      </c>
      <c r="L15" s="87">
        <v>2.9449148830244942</v>
      </c>
    </row>
    <row r="16" spans="3:12">
      <c r="C16" s="85" t="s">
        <v>123</v>
      </c>
      <c r="D16" s="83">
        <f t="shared" ca="1" si="0"/>
        <v>1</v>
      </c>
      <c r="E16" s="84">
        <f t="shared" ca="1" si="1"/>
        <v>0.15703247915955132</v>
      </c>
      <c r="F16" s="84">
        <f t="shared" ca="1" si="2"/>
        <v>1.8513026214015118</v>
      </c>
      <c r="G16" s="84">
        <f t="shared" ca="1" si="3"/>
        <v>0</v>
      </c>
      <c r="I16" s="87">
        <v>0</v>
      </c>
      <c r="J16" s="87">
        <v>0.87781523057887623</v>
      </c>
      <c r="K16" s="87">
        <v>0</v>
      </c>
      <c r="L16" s="87">
        <v>2.1022208765007635</v>
      </c>
    </row>
    <row r="17" spans="3:12">
      <c r="C17" s="85" t="s">
        <v>124</v>
      </c>
      <c r="D17" s="83">
        <f t="shared" ca="1" si="0"/>
        <v>1</v>
      </c>
      <c r="E17" s="84">
        <f t="shared" ca="1" si="1"/>
        <v>0.54004256440068388</v>
      </c>
      <c r="F17" s="84">
        <f t="shared" ca="1" si="2"/>
        <v>0.61610731956595421</v>
      </c>
      <c r="G17" s="84">
        <f t="shared" ca="1" si="3"/>
        <v>0</v>
      </c>
      <c r="I17" s="87">
        <v>1</v>
      </c>
      <c r="J17" s="87">
        <v>0.59453479228313044</v>
      </c>
      <c r="K17" s="87">
        <v>0.51997604095881067</v>
      </c>
      <c r="L17" s="87">
        <v>0</v>
      </c>
    </row>
    <row r="18" spans="3:12">
      <c r="C18" s="85" t="s">
        <v>125</v>
      </c>
      <c r="D18" s="83">
        <f t="shared" ca="1" si="0"/>
        <v>1</v>
      </c>
      <c r="E18" s="84">
        <f t="shared" ca="1" si="1"/>
        <v>0.29641752261720256</v>
      </c>
      <c r="F18" s="84">
        <f t="shared" ca="1" si="2"/>
        <v>1.2159862691659047</v>
      </c>
      <c r="G18" s="84">
        <f t="shared" ca="1" si="3"/>
        <v>0</v>
      </c>
      <c r="I18" s="87">
        <v>1</v>
      </c>
      <c r="J18" s="87">
        <v>0.39985578008131895</v>
      </c>
      <c r="K18" s="87">
        <v>0.91665134668456327</v>
      </c>
      <c r="L18" s="87">
        <v>0</v>
      </c>
    </row>
    <row r="19" spans="3:12">
      <c r="C19" s="85" t="s">
        <v>126</v>
      </c>
      <c r="D19" s="83">
        <f t="shared" ca="1" si="0"/>
        <v>1</v>
      </c>
      <c r="E19" s="84">
        <f t="shared" ca="1" si="1"/>
        <v>0.97823717323113146</v>
      </c>
      <c r="F19" s="84">
        <f t="shared" ca="1" si="2"/>
        <v>2.2003129931442728E-2</v>
      </c>
      <c r="G19" s="84">
        <f t="shared" ca="1" si="3"/>
        <v>0</v>
      </c>
      <c r="I19" s="87">
        <v>1</v>
      </c>
      <c r="J19" s="87">
        <v>0.99181288995754557</v>
      </c>
      <c r="K19" s="87">
        <v>8.2208084824736457E-3</v>
      </c>
      <c r="L19" s="87">
        <v>0</v>
      </c>
    </row>
    <row r="20" spans="3:12">
      <c r="C20" s="85" t="s">
        <v>127</v>
      </c>
      <c r="D20" s="83">
        <f t="shared" ca="1" si="0"/>
        <v>0</v>
      </c>
      <c r="E20" s="84">
        <f t="shared" ca="1" si="1"/>
        <v>0.12450729652056247</v>
      </c>
      <c r="F20" s="84">
        <f t="shared" ca="1" si="2"/>
        <v>0</v>
      </c>
      <c r="G20" s="84">
        <f t="shared" ca="1" si="3"/>
        <v>0.13296846140924898</v>
      </c>
      <c r="I20" s="87">
        <v>1</v>
      </c>
      <c r="J20" s="87">
        <v>8.821881088148753E-2</v>
      </c>
      <c r="K20" s="87">
        <v>2.4279350634090231</v>
      </c>
      <c r="L20" s="87">
        <v>0</v>
      </c>
    </row>
    <row r="21" spans="3:12">
      <c r="C21" s="85" t="s">
        <v>128</v>
      </c>
      <c r="D21" s="83">
        <f t="shared" ca="1" si="0"/>
        <v>1</v>
      </c>
      <c r="E21" s="84">
        <f t="shared" ca="1" si="1"/>
        <v>0.63293659077230646</v>
      </c>
      <c r="F21" s="84">
        <f t="shared" ca="1" si="2"/>
        <v>0.4573850344111644</v>
      </c>
      <c r="G21" s="84">
        <f t="shared" ca="1" si="3"/>
        <v>0</v>
      </c>
      <c r="I21" s="87">
        <v>1</v>
      </c>
      <c r="J21" s="87">
        <v>0.84824706739022182</v>
      </c>
      <c r="K21" s="87">
        <v>0.16458333257078611</v>
      </c>
      <c r="L21" s="87">
        <v>0</v>
      </c>
    </row>
    <row r="22" spans="3:12">
      <c r="C22" s="85" t="s">
        <v>129</v>
      </c>
      <c r="D22" s="83">
        <f t="shared" ca="1" si="0"/>
        <v>1</v>
      </c>
      <c r="E22" s="84">
        <f t="shared" ca="1" si="1"/>
        <v>0.78091302524027462</v>
      </c>
      <c r="F22" s="84">
        <f t="shared" ca="1" si="2"/>
        <v>0.24729149867252068</v>
      </c>
      <c r="G22" s="84">
        <f t="shared" ca="1" si="3"/>
        <v>0</v>
      </c>
      <c r="I22" s="87">
        <v>1</v>
      </c>
      <c r="J22" s="87">
        <v>0.12622839329087698</v>
      </c>
      <c r="K22" s="87">
        <v>2.0696623677236534</v>
      </c>
      <c r="L22" s="87">
        <v>0</v>
      </c>
    </row>
    <row r="23" spans="3:12">
      <c r="C23" s="85" t="s">
        <v>130</v>
      </c>
      <c r="D23" s="83">
        <f t="shared" ca="1" si="0"/>
        <v>0</v>
      </c>
      <c r="E23" s="84">
        <f t="shared" ca="1" si="1"/>
        <v>6.7547073426730386E-2</v>
      </c>
      <c r="F23" s="84">
        <f t="shared" ca="1" si="2"/>
        <v>0</v>
      </c>
      <c r="G23" s="84">
        <f t="shared" ca="1" si="3"/>
        <v>6.9936609624943427E-2</v>
      </c>
      <c r="I23" s="87">
        <v>1</v>
      </c>
      <c r="J23" s="87">
        <v>7.911591797990325E-2</v>
      </c>
      <c r="K23" s="87">
        <v>2.5368411857703315</v>
      </c>
      <c r="L23" s="87">
        <v>0</v>
      </c>
    </row>
    <row r="24" spans="3:12">
      <c r="C24" s="85" t="s">
        <v>131</v>
      </c>
      <c r="D24" s="83">
        <f t="shared" ca="1" si="0"/>
        <v>1</v>
      </c>
      <c r="E24" s="84">
        <f t="shared" ca="1" si="1"/>
        <v>0.58916836234788617</v>
      </c>
      <c r="F24" s="84">
        <f t="shared" ca="1" si="2"/>
        <v>0.52904329178258092</v>
      </c>
      <c r="G24" s="84">
        <f t="shared" ca="1" si="3"/>
        <v>0</v>
      </c>
      <c r="I24" s="87">
        <v>1</v>
      </c>
      <c r="J24" s="87">
        <v>0.58437206760419635</v>
      </c>
      <c r="K24" s="87">
        <v>0.53721739695529014</v>
      </c>
      <c r="L24" s="87">
        <v>0</v>
      </c>
    </row>
  </sheetData>
  <autoFilter ref="I4:L4" xr:uid="{00000000-0009-0000-0000-00000D000000}">
    <sortState xmlns:xlrd2="http://schemas.microsoft.com/office/spreadsheetml/2017/richdata2" ref="I5:L24">
      <sortCondition ref="I4"/>
    </sortState>
  </autoFilter>
  <phoneticPr fontId="34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D7FCF-BD6F-4850-80A0-4CBB07BCBF2A}">
  <dimension ref="A1:F22"/>
  <sheetViews>
    <sheetView showGridLines="0" workbookViewId="0">
      <selection activeCell="E16" sqref="E16"/>
    </sheetView>
  </sheetViews>
  <sheetFormatPr defaultColWidth="13.44140625" defaultRowHeight="15"/>
  <cols>
    <col min="1" max="1" width="18.6640625" style="101" bestFit="1" customWidth="1"/>
    <col min="2" max="2" width="13.77734375" style="100" bestFit="1" customWidth="1"/>
    <col min="3" max="3" width="19.33203125" style="101" customWidth="1"/>
    <col min="4" max="4" width="19.33203125" style="100" customWidth="1"/>
    <col min="5" max="5" width="13.44140625" style="101"/>
    <col min="6" max="16384" width="13.44140625" style="100"/>
  </cols>
  <sheetData>
    <row r="1" spans="1:6" ht="25.2" customHeight="1">
      <c r="A1" s="98" t="s">
        <v>145</v>
      </c>
      <c r="B1" s="99" t="s">
        <v>146</v>
      </c>
      <c r="C1" s="98" t="s">
        <v>148</v>
      </c>
      <c r="D1" s="99" t="s">
        <v>149</v>
      </c>
      <c r="E1" s="98" t="s">
        <v>147</v>
      </c>
      <c r="F1" s="99" t="s">
        <v>150</v>
      </c>
    </row>
    <row r="2" spans="1:6">
      <c r="A2" s="101">
        <v>9.9999999999999995E-7</v>
      </c>
      <c r="B2" s="100">
        <f>1-A2</f>
        <v>0.99999899999999997</v>
      </c>
      <c r="C2" s="101">
        <f>A2/B2</f>
        <v>1.0000010000009999E-6</v>
      </c>
      <c r="D2" s="100">
        <f>B2/A2</f>
        <v>999999</v>
      </c>
      <c r="E2" s="101">
        <f>LOG(C2)</f>
        <v>-5.9999995657053011</v>
      </c>
      <c r="F2" s="100">
        <f>LOG(D2)</f>
        <v>5.9999995657053011</v>
      </c>
    </row>
    <row r="3" spans="1:6">
      <c r="A3" s="102">
        <f>A2+0.05</f>
        <v>5.0001000000000004E-2</v>
      </c>
      <c r="B3" s="100">
        <f t="shared" ref="B3:B22" si="0">1-A3</f>
        <v>0.94999900000000004</v>
      </c>
      <c r="C3" s="101">
        <f t="shared" ref="C3:C22" si="1">A3/B3</f>
        <v>5.263268698177577E-2</v>
      </c>
      <c r="D3" s="100">
        <f t="shared" ref="D3:D21" si="2">B3/A3</f>
        <v>18.999600007999838</v>
      </c>
      <c r="E3" s="101">
        <f t="shared" ref="E3:E22" si="3">LOG(C3)</f>
        <v>-1.2787444579977219</v>
      </c>
      <c r="F3" s="100">
        <f t="shared" ref="F3:F22" si="4">LOG(D3)</f>
        <v>1.2787444579977219</v>
      </c>
    </row>
    <row r="4" spans="1:6">
      <c r="A4" s="101">
        <f t="shared" ref="A4:A21" si="5">A3+0.05</f>
        <v>0.10000100000000001</v>
      </c>
      <c r="B4" s="100">
        <f t="shared" si="0"/>
        <v>0.89999899999999999</v>
      </c>
      <c r="C4" s="101">
        <f t="shared" si="1"/>
        <v>0.1111123456803841</v>
      </c>
      <c r="D4" s="100">
        <f t="shared" si="2"/>
        <v>8.9999000009999897</v>
      </c>
      <c r="E4" s="101">
        <f t="shared" si="3"/>
        <v>-0.95423768396652797</v>
      </c>
      <c r="F4" s="100">
        <f t="shared" si="4"/>
        <v>0.95423768396652797</v>
      </c>
    </row>
    <row r="5" spans="1:6">
      <c r="A5" s="101">
        <f t="shared" si="5"/>
        <v>0.150001</v>
      </c>
      <c r="B5" s="100">
        <f t="shared" si="0"/>
        <v>0.84999899999999995</v>
      </c>
      <c r="C5" s="101">
        <f t="shared" si="1"/>
        <v>0.17647197231996745</v>
      </c>
      <c r="D5" s="100">
        <f t="shared" si="2"/>
        <v>5.6666222225185168</v>
      </c>
      <c r="E5" s="101">
        <f t="shared" si="3"/>
        <v>-0.75332426043673129</v>
      </c>
      <c r="F5" s="100">
        <f t="shared" si="4"/>
        <v>0.75332426043673129</v>
      </c>
    </row>
    <row r="6" spans="1:6">
      <c r="A6" s="101">
        <f t="shared" si="5"/>
        <v>0.20000099999999998</v>
      </c>
      <c r="B6" s="100">
        <f t="shared" si="0"/>
        <v>0.79999900000000002</v>
      </c>
      <c r="C6" s="101">
        <f t="shared" si="1"/>
        <v>0.2500015625019531</v>
      </c>
      <c r="D6" s="100">
        <f t="shared" si="2"/>
        <v>3.9999750001249996</v>
      </c>
      <c r="E6" s="101">
        <f t="shared" si="3"/>
        <v>-0.60205727699253986</v>
      </c>
      <c r="F6" s="100">
        <f t="shared" si="4"/>
        <v>0.60205727699253986</v>
      </c>
    </row>
    <row r="7" spans="1:6">
      <c r="A7" s="101">
        <f t="shared" si="5"/>
        <v>0.25000099999999997</v>
      </c>
      <c r="B7" s="100">
        <f t="shared" si="0"/>
        <v>0.74999900000000008</v>
      </c>
      <c r="C7" s="101">
        <f t="shared" si="1"/>
        <v>0.33333511111348141</v>
      </c>
      <c r="D7" s="100">
        <f t="shared" si="2"/>
        <v>2.9999840000640003</v>
      </c>
      <c r="E7" s="101">
        <f t="shared" si="3"/>
        <v>-0.47711893848551401</v>
      </c>
      <c r="F7" s="100">
        <f t="shared" si="4"/>
        <v>0.47711893848551401</v>
      </c>
    </row>
    <row r="8" spans="1:6">
      <c r="A8" s="101">
        <f t="shared" si="5"/>
        <v>0.30000099999999996</v>
      </c>
      <c r="B8" s="100">
        <f t="shared" si="0"/>
        <v>0.69999900000000004</v>
      </c>
      <c r="C8" s="101">
        <f t="shared" si="1"/>
        <v>0.42857346939067048</v>
      </c>
      <c r="D8" s="100">
        <f t="shared" si="2"/>
        <v>2.3333222222592593</v>
      </c>
      <c r="E8" s="101">
        <f t="shared" si="3"/>
        <v>-0.36797471722760261</v>
      </c>
      <c r="F8" s="100">
        <f t="shared" si="4"/>
        <v>0.36797471722760255</v>
      </c>
    </row>
    <row r="9" spans="1:6">
      <c r="A9" s="101">
        <f t="shared" si="5"/>
        <v>0.35000099999999995</v>
      </c>
      <c r="B9" s="100">
        <f t="shared" si="0"/>
        <v>0.64999899999999999</v>
      </c>
      <c r="C9" s="101">
        <f t="shared" si="1"/>
        <v>0.53846390532908506</v>
      </c>
      <c r="D9" s="100">
        <f t="shared" si="2"/>
        <v>1.8571346939008748</v>
      </c>
      <c r="E9" s="101">
        <f t="shared" si="3"/>
        <v>-0.26884340330710504</v>
      </c>
      <c r="F9" s="100">
        <f t="shared" si="4"/>
        <v>0.26884340330710504</v>
      </c>
    </row>
    <row r="10" spans="1:6">
      <c r="A10" s="101">
        <f t="shared" si="5"/>
        <v>0.40000099999999994</v>
      </c>
      <c r="B10" s="100">
        <f t="shared" si="0"/>
        <v>0.59999900000000006</v>
      </c>
      <c r="C10" s="101">
        <f t="shared" si="1"/>
        <v>0.66666944444907394</v>
      </c>
      <c r="D10" s="100">
        <f t="shared" si="2"/>
        <v>1.4999937500156253</v>
      </c>
      <c r="E10" s="101">
        <f t="shared" si="3"/>
        <v>-0.17608944949609404</v>
      </c>
      <c r="F10" s="100">
        <f t="shared" si="4"/>
        <v>0.17608944949609406</v>
      </c>
    </row>
    <row r="11" spans="1:6">
      <c r="A11" s="101">
        <f t="shared" si="5"/>
        <v>0.45000099999999993</v>
      </c>
      <c r="B11" s="100">
        <f t="shared" si="0"/>
        <v>0.54999900000000013</v>
      </c>
      <c r="C11" s="101">
        <f t="shared" si="1"/>
        <v>0.8181851239729524</v>
      </c>
      <c r="D11" s="100">
        <f t="shared" si="2"/>
        <v>1.2222172839615917</v>
      </c>
      <c r="E11" s="101">
        <f t="shared" si="3"/>
        <v>-8.7148420994075396E-2</v>
      </c>
      <c r="F11" s="100">
        <f t="shared" si="4"/>
        <v>8.7148420994075423E-2</v>
      </c>
    </row>
    <row r="12" spans="1:6" s="103" customFormat="1" ht="15.6">
      <c r="A12" s="103">
        <f t="shared" si="5"/>
        <v>0.50000099999999992</v>
      </c>
      <c r="B12" s="103">
        <f t="shared" si="0"/>
        <v>0.49999900000000008</v>
      </c>
      <c r="C12" s="103">
        <f t="shared" si="1"/>
        <v>1.0000040000079997</v>
      </c>
      <c r="D12" s="103">
        <f t="shared" si="2"/>
        <v>0.99999600000800026</v>
      </c>
      <c r="E12" s="103">
        <f t="shared" si="3"/>
        <v>1.7371779274850375E-6</v>
      </c>
      <c r="F12" s="103">
        <f t="shared" si="4"/>
        <v>-1.737177927494105E-6</v>
      </c>
    </row>
    <row r="13" spans="1:6">
      <c r="A13" s="101">
        <f t="shared" si="5"/>
        <v>0.55000099999999996</v>
      </c>
      <c r="B13" s="100">
        <f t="shared" si="0"/>
        <v>0.44999900000000004</v>
      </c>
      <c r="C13" s="101">
        <f t="shared" si="1"/>
        <v>1.222227160504801</v>
      </c>
      <c r="D13" s="100">
        <f t="shared" si="2"/>
        <v>0.81817851240270489</v>
      </c>
      <c r="E13" s="101">
        <f t="shared" si="3"/>
        <v>8.7151930444434006E-2</v>
      </c>
      <c r="F13" s="100">
        <f t="shared" si="4"/>
        <v>-8.7151930444433978E-2</v>
      </c>
    </row>
    <row r="14" spans="1:6">
      <c r="A14" s="101">
        <f t="shared" si="5"/>
        <v>0.60000100000000001</v>
      </c>
      <c r="B14" s="100">
        <f t="shared" si="0"/>
        <v>0.39999899999999999</v>
      </c>
      <c r="C14" s="101">
        <f t="shared" si="1"/>
        <v>1.500006250015625</v>
      </c>
      <c r="D14" s="100">
        <f t="shared" si="2"/>
        <v>0.66666388889351846</v>
      </c>
      <c r="E14" s="101">
        <f t="shared" si="3"/>
        <v>0.17609306861677648</v>
      </c>
      <c r="F14" s="100">
        <f t="shared" si="4"/>
        <v>-0.17609306861677651</v>
      </c>
    </row>
    <row r="15" spans="1:6">
      <c r="A15" s="101">
        <f t="shared" si="5"/>
        <v>0.65000100000000005</v>
      </c>
      <c r="B15" s="100">
        <f t="shared" si="0"/>
        <v>0.34999899999999995</v>
      </c>
      <c r="C15" s="101">
        <f t="shared" si="1"/>
        <v>1.8571510204314874</v>
      </c>
      <c r="D15" s="100">
        <f t="shared" si="2"/>
        <v>0.53845917160127432</v>
      </c>
      <c r="E15" s="101">
        <f t="shared" si="3"/>
        <v>0.26884722128057237</v>
      </c>
      <c r="F15" s="100">
        <f t="shared" si="4"/>
        <v>-0.26884722128057237</v>
      </c>
    </row>
    <row r="16" spans="1:6">
      <c r="A16" s="101">
        <f t="shared" si="5"/>
        <v>0.7000010000000001</v>
      </c>
      <c r="B16" s="100">
        <f t="shared" si="0"/>
        <v>0.2999989999999999</v>
      </c>
      <c r="C16" s="101">
        <f t="shared" si="1"/>
        <v>2.3333444444814826</v>
      </c>
      <c r="D16" s="100">
        <f t="shared" si="2"/>
        <v>0.42856938775801728</v>
      </c>
      <c r="E16" s="101">
        <f t="shared" si="3"/>
        <v>0.3679788533655256</v>
      </c>
      <c r="F16" s="100">
        <f t="shared" si="4"/>
        <v>-0.36797885336552566</v>
      </c>
    </row>
    <row r="17" spans="1:6">
      <c r="A17" s="101">
        <f t="shared" si="5"/>
        <v>0.75000100000000014</v>
      </c>
      <c r="B17" s="100">
        <f t="shared" si="0"/>
        <v>0.24999899999999986</v>
      </c>
      <c r="C17" s="101">
        <f t="shared" si="1"/>
        <v>3.0000160000640026</v>
      </c>
      <c r="D17" s="100">
        <f t="shared" si="2"/>
        <v>0.33333155555792565</v>
      </c>
      <c r="E17" s="101">
        <f t="shared" si="3"/>
        <v>0.47712357095998792</v>
      </c>
      <c r="F17" s="100">
        <f t="shared" si="4"/>
        <v>-0.47712357095998792</v>
      </c>
    </row>
    <row r="18" spans="1:6">
      <c r="A18" s="101">
        <f t="shared" si="5"/>
        <v>0.80000100000000018</v>
      </c>
      <c r="B18" s="100">
        <f t="shared" si="0"/>
        <v>0.19999899999999982</v>
      </c>
      <c r="C18" s="101">
        <f t="shared" si="1"/>
        <v>4.0000250001250048</v>
      </c>
      <c r="D18" s="100">
        <f t="shared" si="2"/>
        <v>0.24999843750195283</v>
      </c>
      <c r="E18" s="101">
        <f t="shared" si="3"/>
        <v>0.60206270567356412</v>
      </c>
      <c r="F18" s="100">
        <f t="shared" si="4"/>
        <v>-0.60206270567356424</v>
      </c>
    </row>
    <row r="19" spans="1:6">
      <c r="A19" s="101">
        <f t="shared" si="5"/>
        <v>0.85000100000000023</v>
      </c>
      <c r="B19" s="100">
        <f t="shared" si="0"/>
        <v>0.14999899999999977</v>
      </c>
      <c r="C19" s="101">
        <f t="shared" si="1"/>
        <v>5.6667111114074196</v>
      </c>
      <c r="D19" s="100">
        <f t="shared" si="2"/>
        <v>0.17646920415387715</v>
      </c>
      <c r="E19" s="101">
        <f t="shared" si="3"/>
        <v>0.75333107289919332</v>
      </c>
      <c r="F19" s="100">
        <f t="shared" si="4"/>
        <v>-0.75333107289919332</v>
      </c>
    </row>
    <row r="20" spans="1:6">
      <c r="A20" s="101">
        <f>A19+0.05</f>
        <v>0.90000100000000027</v>
      </c>
      <c r="B20" s="100">
        <f t="shared" si="0"/>
        <v>9.9998999999999727E-2</v>
      </c>
      <c r="C20" s="101">
        <f t="shared" si="1"/>
        <v>9.0001000010000372</v>
      </c>
      <c r="D20" s="100">
        <f t="shared" si="2"/>
        <v>0.11110987654458128</v>
      </c>
      <c r="E20" s="101">
        <f t="shared" si="3"/>
        <v>0.95424733495501635</v>
      </c>
      <c r="F20" s="100">
        <f t="shared" si="4"/>
        <v>-0.95424733495501635</v>
      </c>
    </row>
    <row r="21" spans="1:6">
      <c r="A21" s="101">
        <f t="shared" si="5"/>
        <v>0.95000100000000032</v>
      </c>
      <c r="B21" s="100">
        <f t="shared" si="0"/>
        <v>4.9998999999999683E-2</v>
      </c>
      <c r="C21" s="101">
        <f t="shared" si="1"/>
        <v>19.000400008000287</v>
      </c>
      <c r="D21" s="100">
        <f t="shared" si="2"/>
        <v>5.2630470915293423E-2</v>
      </c>
      <c r="E21" s="101">
        <f t="shared" si="3"/>
        <v>1.2787627440811755</v>
      </c>
      <c r="F21" s="100">
        <f t="shared" si="4"/>
        <v>-1.2787627440811755</v>
      </c>
    </row>
    <row r="22" spans="1:6">
      <c r="A22" s="101">
        <f>B2</f>
        <v>0.99999899999999997</v>
      </c>
      <c r="B22" s="100">
        <f t="shared" si="0"/>
        <v>1.0000000000287557E-6</v>
      </c>
      <c r="C22" s="101">
        <f t="shared" si="1"/>
        <v>999998.99997124437</v>
      </c>
      <c r="D22" s="100">
        <f t="shared" ref="D22" si="6">B22/A22</f>
        <v>1.0000010000297558E-6</v>
      </c>
      <c r="E22" s="101">
        <f t="shared" si="3"/>
        <v>5.9999995656928125</v>
      </c>
      <c r="F22" s="100">
        <f t="shared" si="4"/>
        <v>-5.9999995656928125</v>
      </c>
    </row>
  </sheetData>
  <phoneticPr fontId="26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T11"/>
  <sheetViews>
    <sheetView showGridLines="0" workbookViewId="0">
      <selection activeCell="B23" sqref="B23"/>
    </sheetView>
  </sheetViews>
  <sheetFormatPr defaultColWidth="8.88671875" defaultRowHeight="13.8"/>
  <cols>
    <col min="1" max="1" width="32.6640625" style="107" bestFit="1" customWidth="1"/>
    <col min="2" max="2" width="7.21875" style="107" bestFit="1" customWidth="1"/>
    <col min="3" max="4" width="8.5546875" style="107" bestFit="1" customWidth="1"/>
    <col min="5" max="5" width="9.88671875" style="107" bestFit="1" customWidth="1"/>
    <col min="6" max="6" width="11.33203125" style="107" bestFit="1" customWidth="1"/>
    <col min="7" max="7" width="12.77734375" style="107" bestFit="1" customWidth="1"/>
    <col min="8" max="8" width="14.88671875" style="107" bestFit="1" customWidth="1"/>
    <col min="9" max="9" width="16.33203125" style="107" bestFit="1" customWidth="1"/>
    <col min="10" max="10" width="17.77734375" style="107" bestFit="1" customWidth="1"/>
    <col min="11" max="11" width="19.88671875" style="107" bestFit="1" customWidth="1"/>
    <col min="12" max="12" width="21.33203125" style="107" bestFit="1" customWidth="1"/>
    <col min="13" max="13" width="22.77734375" style="107" bestFit="1" customWidth="1"/>
    <col min="14" max="14" width="24.88671875" style="107" bestFit="1" customWidth="1"/>
    <col min="15" max="15" width="26.33203125" style="107" bestFit="1" customWidth="1"/>
    <col min="16" max="18" width="11.33203125" style="107" bestFit="1" customWidth="1"/>
    <col min="19" max="20" width="12.77734375" style="107" bestFit="1" customWidth="1"/>
    <col min="21" max="16384" width="8.88671875" style="107"/>
  </cols>
  <sheetData>
    <row r="3" spans="1:20" s="105" customFormat="1">
      <c r="A3" s="104" t="s">
        <v>139</v>
      </c>
      <c r="B3" s="105">
        <v>1</v>
      </c>
      <c r="C3" s="105">
        <f>B3*2</f>
        <v>2</v>
      </c>
      <c r="D3" s="105">
        <f t="shared" ref="D3:T3" si="0">C3*2</f>
        <v>4</v>
      </c>
      <c r="E3" s="105">
        <f t="shared" si="0"/>
        <v>8</v>
      </c>
      <c r="F3" s="105">
        <f t="shared" si="0"/>
        <v>16</v>
      </c>
      <c r="G3" s="105">
        <f t="shared" si="0"/>
        <v>32</v>
      </c>
      <c r="H3" s="105">
        <f t="shared" si="0"/>
        <v>64</v>
      </c>
      <c r="I3" s="105">
        <f t="shared" si="0"/>
        <v>128</v>
      </c>
      <c r="J3" s="105">
        <f t="shared" si="0"/>
        <v>256</v>
      </c>
      <c r="K3" s="105">
        <f t="shared" si="0"/>
        <v>512</v>
      </c>
      <c r="L3" s="105">
        <f t="shared" si="0"/>
        <v>1024</v>
      </c>
      <c r="M3" s="105">
        <f t="shared" si="0"/>
        <v>2048</v>
      </c>
      <c r="N3" s="105">
        <f t="shared" si="0"/>
        <v>4096</v>
      </c>
      <c r="O3" s="105">
        <f t="shared" si="0"/>
        <v>8192</v>
      </c>
      <c r="P3" s="105">
        <f>O3*2</f>
        <v>16384</v>
      </c>
      <c r="Q3" s="105">
        <f t="shared" si="0"/>
        <v>32768</v>
      </c>
      <c r="R3" s="105">
        <f t="shared" si="0"/>
        <v>65536</v>
      </c>
      <c r="S3" s="105">
        <f t="shared" si="0"/>
        <v>131072</v>
      </c>
      <c r="T3" s="105">
        <f t="shared" si="0"/>
        <v>262144</v>
      </c>
    </row>
    <row r="4" spans="1:20">
      <c r="A4" s="106" t="s">
        <v>138</v>
      </c>
      <c r="B4" s="107">
        <f>LN(B3)</f>
        <v>0</v>
      </c>
      <c r="C4" s="107">
        <f t="shared" ref="C4:T4" si="1">LN(C3)</f>
        <v>0.69314718055994529</v>
      </c>
      <c r="D4" s="107">
        <f t="shared" si="1"/>
        <v>1.3862943611198906</v>
      </c>
      <c r="E4" s="107">
        <f t="shared" si="1"/>
        <v>2.0794415416798357</v>
      </c>
      <c r="F4" s="107">
        <f t="shared" si="1"/>
        <v>2.7725887222397811</v>
      </c>
      <c r="G4" s="107">
        <f t="shared" si="1"/>
        <v>3.4657359027997265</v>
      </c>
      <c r="H4" s="107">
        <f t="shared" si="1"/>
        <v>4.1588830833596715</v>
      </c>
      <c r="I4" s="107">
        <f t="shared" si="1"/>
        <v>4.8520302639196169</v>
      </c>
      <c r="J4" s="107">
        <f t="shared" si="1"/>
        <v>5.5451774444795623</v>
      </c>
      <c r="K4" s="107">
        <f t="shared" si="1"/>
        <v>6.2383246250395077</v>
      </c>
      <c r="L4" s="107">
        <f t="shared" si="1"/>
        <v>6.9314718055994531</v>
      </c>
      <c r="M4" s="107">
        <f t="shared" si="1"/>
        <v>7.6246189861593985</v>
      </c>
      <c r="N4" s="107">
        <f t="shared" si="1"/>
        <v>8.317766166719343</v>
      </c>
      <c r="O4" s="107">
        <f t="shared" si="1"/>
        <v>9.0109133472792884</v>
      </c>
      <c r="P4" s="107">
        <f t="shared" si="1"/>
        <v>9.7040605278392338</v>
      </c>
      <c r="Q4" s="107">
        <f t="shared" si="1"/>
        <v>10.397207708399179</v>
      </c>
      <c r="R4" s="107">
        <f t="shared" si="1"/>
        <v>11.090354888959125</v>
      </c>
      <c r="S4" s="107">
        <f t="shared" si="1"/>
        <v>11.78350206951907</v>
      </c>
      <c r="T4" s="107">
        <f t="shared" si="1"/>
        <v>12.476649250079015</v>
      </c>
    </row>
    <row r="5" spans="1:20">
      <c r="A5" s="106"/>
    </row>
    <row r="6" spans="1:20" s="105" customFormat="1">
      <c r="A6" s="104" t="s">
        <v>140</v>
      </c>
      <c r="B6" s="105">
        <v>1</v>
      </c>
      <c r="C6" s="105">
        <f>B6*10</f>
        <v>10</v>
      </c>
      <c r="D6" s="105">
        <f t="shared" ref="D6:O6" si="2">C6*10</f>
        <v>100</v>
      </c>
      <c r="E6" s="105">
        <f t="shared" si="2"/>
        <v>1000</v>
      </c>
      <c r="F6" s="105">
        <f t="shared" si="2"/>
        <v>10000</v>
      </c>
      <c r="G6" s="105">
        <f t="shared" si="2"/>
        <v>100000</v>
      </c>
      <c r="H6" s="105">
        <f t="shared" si="2"/>
        <v>1000000</v>
      </c>
      <c r="I6" s="105">
        <f t="shared" si="2"/>
        <v>10000000</v>
      </c>
      <c r="J6" s="105">
        <f t="shared" si="2"/>
        <v>100000000</v>
      </c>
      <c r="K6" s="105">
        <f t="shared" si="2"/>
        <v>1000000000</v>
      </c>
      <c r="L6" s="105">
        <f t="shared" si="2"/>
        <v>10000000000</v>
      </c>
      <c r="M6" s="105">
        <f t="shared" si="2"/>
        <v>100000000000</v>
      </c>
      <c r="N6" s="105">
        <f t="shared" si="2"/>
        <v>1000000000000</v>
      </c>
      <c r="O6" s="105">
        <f t="shared" si="2"/>
        <v>10000000000000</v>
      </c>
    </row>
    <row r="7" spans="1:20">
      <c r="A7" s="106" t="s">
        <v>143</v>
      </c>
      <c r="B7" s="107">
        <f>LOG(B6)</f>
        <v>0</v>
      </c>
      <c r="C7" s="107">
        <f t="shared" ref="C7:J7" si="3">LOG(C6)</f>
        <v>1</v>
      </c>
      <c r="D7" s="107">
        <f t="shared" si="3"/>
        <v>2</v>
      </c>
      <c r="E7" s="107">
        <f t="shared" si="3"/>
        <v>3</v>
      </c>
      <c r="F7" s="107">
        <f t="shared" si="3"/>
        <v>4</v>
      </c>
      <c r="G7" s="107">
        <f t="shared" si="3"/>
        <v>5</v>
      </c>
      <c r="H7" s="107">
        <f t="shared" si="3"/>
        <v>6</v>
      </c>
      <c r="I7" s="107">
        <f t="shared" si="3"/>
        <v>7</v>
      </c>
      <c r="J7" s="107">
        <f t="shared" si="3"/>
        <v>8</v>
      </c>
    </row>
    <row r="8" spans="1:20">
      <c r="A8" s="106"/>
    </row>
    <row r="9" spans="1:20" s="116" customFormat="1">
      <c r="A9" s="108" t="s">
        <v>141</v>
      </c>
      <c r="B9" s="109">
        <f>1/B6</f>
        <v>1</v>
      </c>
      <c r="C9" s="110">
        <f t="shared" ref="C9:J9" si="4">1/C6</f>
        <v>0.1</v>
      </c>
      <c r="D9" s="110">
        <f t="shared" si="4"/>
        <v>0.01</v>
      </c>
      <c r="E9" s="111">
        <f t="shared" si="4"/>
        <v>1E-3</v>
      </c>
      <c r="F9" s="112">
        <f t="shared" si="4"/>
        <v>1E-4</v>
      </c>
      <c r="G9" s="113">
        <f t="shared" si="4"/>
        <v>1.0000000000000001E-5</v>
      </c>
      <c r="H9" s="114">
        <f t="shared" si="4"/>
        <v>9.9999999999999995E-7</v>
      </c>
      <c r="I9" s="115">
        <f t="shared" si="4"/>
        <v>9.9999999999999995E-8</v>
      </c>
      <c r="J9" s="116">
        <f t="shared" si="4"/>
        <v>1E-8</v>
      </c>
    </row>
    <row r="10" spans="1:20">
      <c r="A10" s="106" t="s">
        <v>144</v>
      </c>
      <c r="B10" s="107">
        <f>LOG(B9)</f>
        <v>0</v>
      </c>
      <c r="C10" s="107">
        <f t="shared" ref="C10:J10" si="5">LOG(C9)</f>
        <v>-1</v>
      </c>
      <c r="D10" s="107">
        <f t="shared" si="5"/>
        <v>-2</v>
      </c>
      <c r="E10" s="107">
        <f t="shared" si="5"/>
        <v>-3</v>
      </c>
      <c r="F10" s="107">
        <f t="shared" si="5"/>
        <v>-4</v>
      </c>
      <c r="G10" s="107">
        <f t="shared" si="5"/>
        <v>-5</v>
      </c>
      <c r="H10" s="107">
        <f t="shared" si="5"/>
        <v>-6</v>
      </c>
      <c r="I10" s="107">
        <f t="shared" si="5"/>
        <v>-7</v>
      </c>
      <c r="J10" s="107">
        <f t="shared" si="5"/>
        <v>-8</v>
      </c>
    </row>
    <row r="11" spans="1:20">
      <c r="A11" s="106"/>
    </row>
  </sheetData>
  <phoneticPr fontId="2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>
    <row r="1" spans="1:1">
      <c r="A1" s="4"/>
    </row>
  </sheetData>
  <phoneticPr fontId="2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B18"/>
  <sheetViews>
    <sheetView workbookViewId="0"/>
  </sheetViews>
  <sheetFormatPr defaultColWidth="12.6640625" defaultRowHeight="15.75" customHeight="1"/>
  <sheetData>
    <row r="1" spans="1:2">
      <c r="A1" s="4" t="e">
        <f>ModelSheet=#REF!</f>
        <v>#NAME?</v>
      </c>
      <c r="B1" s="4" t="e">
        <f>ModelSheet=logistic [3]regression!A:Z</f>
        <v>#NAME?</v>
      </c>
    </row>
    <row r="2" spans="1:2">
      <c r="A2" s="4" t="e">
        <f t="shared" ref="A2:B2" si="0">OpenSolver_AdjNum=1</f>
        <v>#NAME?</v>
      </c>
      <c r="B2" s="4" t="e">
        <f t="shared" si="0"/>
        <v>#NAME?</v>
      </c>
    </row>
    <row r="3" spans="1:2">
      <c r="A3" s="4" t="e">
        <f t="shared" ref="A3:B3" si="1">OpenSolver_ChosenSolver=Google</f>
        <v>#NAME?</v>
      </c>
      <c r="B3" s="4" t="e">
        <f t="shared" si="1"/>
        <v>#NAME?</v>
      </c>
    </row>
    <row r="4" spans="1:2">
      <c r="A4" s="4" t="e">
        <f t="shared" ref="A4:B4" si="2">OpenSolver_FastBuild=0</f>
        <v>#NAME?</v>
      </c>
      <c r="B4" s="4" t="e">
        <f t="shared" si="2"/>
        <v>#NAME?</v>
      </c>
    </row>
    <row r="5" spans="1:2">
      <c r="A5" s="4" t="e">
        <f>OpenSolver_LinearityCheck=1</f>
        <v>#NAME?</v>
      </c>
      <c r="B5" s="4" t="e">
        <f>OpenSolver_LinearityCheck=0</f>
        <v>#NAME?</v>
      </c>
    </row>
    <row r="6" spans="1:2">
      <c r="A6" s="4" t="e">
        <f>solver_adj=#REF!</f>
        <v>#NAME?</v>
      </c>
      <c r="B6" s="4" t="e">
        <f>solver_adj=logistic [3]regression!E5:F5</f>
        <v>#NAME?</v>
      </c>
    </row>
    <row r="7" spans="1:2">
      <c r="A7" s="4" t="e">
        <f>solver_lhs1=#REF!</f>
        <v>#NAME?</v>
      </c>
      <c r="B7" s="4" t="e">
        <f>solver_neg=1</f>
        <v>#NAME?</v>
      </c>
    </row>
    <row r="8" spans="1:2">
      <c r="A8" s="4" t="e">
        <f>solver_lhs2=#REF!</f>
        <v>#NAME?</v>
      </c>
      <c r="B8" s="4" t="e">
        <f>solver_num=0</f>
        <v>#NAME?</v>
      </c>
    </row>
    <row r="9" spans="1:2">
      <c r="A9" s="4" t="e">
        <f>solver_neg=1</f>
        <v>#NAME?</v>
      </c>
      <c r="B9" s="4" t="e">
        <f>solver_opt=logistic [3]regression!H16</f>
        <v>#NAME?</v>
      </c>
    </row>
    <row r="10" spans="1:2">
      <c r="A10" s="4" t="e">
        <f>solver_num=2</f>
        <v>#NAME?</v>
      </c>
      <c r="B10" s="4" t="e">
        <f>solver_sho=1</f>
        <v>#NAME?</v>
      </c>
    </row>
    <row r="11" spans="1:2">
      <c r="A11" s="4" t="e">
        <f>solver_opt=#REF!</f>
        <v>#NAME?</v>
      </c>
      <c r="B11" s="4" t="e">
        <f>solver_typ=2</f>
        <v>#NAME?</v>
      </c>
    </row>
    <row r="12" spans="1:2">
      <c r="A12" s="4" t="e">
        <f>solver_rel1=1</f>
        <v>#NAME?</v>
      </c>
      <c r="B12" s="4" t="e">
        <f>solver_val=0</f>
        <v>#NAME?</v>
      </c>
    </row>
    <row r="13" spans="1:2">
      <c r="A13" s="4" t="e">
        <f>solver_rel2=3</f>
        <v>#NAME?</v>
      </c>
    </row>
    <row r="14" spans="1:2">
      <c r="A14" s="4" t="e">
        <f>solver_rhs1=#REF!</f>
        <v>#NAME?</v>
      </c>
    </row>
    <row r="15" spans="1:2">
      <c r="A15" s="4" t="e">
        <f>solver_rhs2=#REF!</f>
        <v>#NAME?</v>
      </c>
    </row>
    <row r="16" spans="1:2">
      <c r="A16" s="4" t="e">
        <f>solver_sho=1</f>
        <v>#NAME?</v>
      </c>
    </row>
    <row r="17" spans="1:1">
      <c r="A17" s="4" t="e">
        <f>solver_typ=1</f>
        <v>#NAME?</v>
      </c>
    </row>
    <row r="18" spans="1:1">
      <c r="A18" s="4" t="e">
        <f>solver_val=0</f>
        <v>#NAME?</v>
      </c>
    </row>
  </sheetData>
  <phoneticPr fontId="2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crash course</vt:lpstr>
      <vt:lpstr>random distributions</vt:lpstr>
      <vt:lpstr>covarianc_correlation</vt:lpstr>
      <vt:lpstr>linear regression</vt:lpstr>
      <vt:lpstr>__Solver__</vt:lpstr>
      <vt:lpstr>__Solver___conflict482289707</vt:lpstr>
      <vt:lpstr>simple linear regression</vt:lpstr>
      <vt:lpstr>bias_variance</vt:lpstr>
      <vt:lpstr>logistic function</vt:lpstr>
      <vt:lpstr>logistic regression</vt:lpstr>
      <vt:lpstr>loss function_logloss</vt:lpstr>
      <vt:lpstr>log loss plot</vt:lpstr>
      <vt:lpstr>odds</vt:lpstr>
      <vt:lpstr>log</vt:lpstr>
      <vt:lpstr>__OpenSolverCache__</vt:lpstr>
      <vt:lpstr>__OpenSolver__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ancestor9</dc:creator>
  <cp:lastModifiedBy>Sanggoo Cho</cp:lastModifiedBy>
  <dcterms:created xsi:type="dcterms:W3CDTF">2023-10-24T10:08:00Z</dcterms:created>
  <dcterms:modified xsi:type="dcterms:W3CDTF">2026-04-16T21:09:19Z</dcterms:modified>
</cp:coreProperties>
</file>