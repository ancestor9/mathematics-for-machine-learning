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athmatics-for-ml\"/>
    </mc:Choice>
  </mc:AlternateContent>
  <xr:revisionPtr revIDLastSave="0" documentId="8_{502F82C3-59FB-4217-9F14-4F305EE333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ash course" sheetId="1" r:id="rId1"/>
    <sheet name="random distributions" sheetId="35" r:id="rId2"/>
    <sheet name="covarianc_correlation" sheetId="2" r:id="rId3"/>
    <sheet name="linear regression" sheetId="3" r:id="rId4"/>
    <sheet name="__Solver__" sheetId="4" state="hidden" r:id="rId5"/>
    <sheet name="__Solver___conflict482289707" sheetId="5" state="hidden" r:id="rId6"/>
    <sheet name="bias_variance" sheetId="10" state="hidden" r:id="rId7"/>
    <sheet name="__OpenSolverCache__" sheetId="22" state="hidden" r:id="rId8"/>
    <sheet name="__OpenSolver__" sheetId="23" state="hidden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G9" i="3" s="1"/>
  <c r="F14" i="3"/>
  <c r="G14" i="3" s="1"/>
  <c r="F18" i="3"/>
  <c r="G18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E10" i="3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E15" i="3"/>
  <c r="F15" i="3" s="1"/>
  <c r="G15" i="3" s="1"/>
  <c r="E16" i="3"/>
  <c r="F16" i="3" s="1"/>
  <c r="G16" i="3" s="1"/>
  <c r="E17" i="3"/>
  <c r="F17" i="3" s="1"/>
  <c r="G17" i="3" s="1"/>
  <c r="E18" i="3"/>
  <c r="E19" i="3"/>
  <c r="F19" i="3" s="1"/>
  <c r="G19" i="3" s="1"/>
  <c r="E4" i="3"/>
  <c r="F4" i="3" s="1"/>
  <c r="G4" i="3" s="1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2" i="35"/>
  <c r="C3" i="35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2" i="35"/>
  <c r="B3" i="35"/>
  <c r="B4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2" i="35"/>
  <c r="A51" i="1"/>
  <c r="D54" i="1"/>
  <c r="C58" i="1" s="1"/>
  <c r="B58" i="1"/>
  <c r="A55" i="1"/>
  <c r="B46" i="1"/>
  <c r="A46" i="1"/>
  <c r="G20" i="3" l="1"/>
  <c r="A59" i="1"/>
  <c r="C32" i="35"/>
  <c r="D32" i="35"/>
  <c r="D33" i="35"/>
  <c r="C33" i="35"/>
  <c r="B32" i="35"/>
  <c r="B33" i="35"/>
  <c r="F27" i="35" l="1"/>
  <c r="G23" i="35"/>
  <c r="F8" i="35"/>
  <c r="F11" i="35"/>
  <c r="F16" i="35"/>
  <c r="F24" i="35"/>
  <c r="F20" i="35"/>
  <c r="H14" i="35"/>
  <c r="F5" i="35"/>
  <c r="G31" i="35"/>
  <c r="F21" i="35"/>
  <c r="F6" i="35"/>
  <c r="F13" i="35"/>
  <c r="F14" i="35"/>
  <c r="F29" i="35"/>
  <c r="G28" i="35"/>
  <c r="G22" i="35"/>
  <c r="H6" i="35"/>
  <c r="H10" i="35"/>
  <c r="H18" i="35"/>
  <c r="H26" i="35"/>
  <c r="H8" i="35"/>
  <c r="H16" i="35"/>
  <c r="H24" i="35"/>
  <c r="H7" i="35"/>
  <c r="H15" i="35"/>
  <c r="H23" i="35"/>
  <c r="H31" i="35"/>
  <c r="H5" i="35"/>
  <c r="H9" i="35"/>
  <c r="H13" i="35"/>
  <c r="H17" i="35"/>
  <c r="H21" i="35"/>
  <c r="H25" i="35"/>
  <c r="H29" i="35"/>
  <c r="H3" i="35"/>
  <c r="H4" i="35"/>
  <c r="G30" i="35"/>
  <c r="H11" i="35"/>
  <c r="H20" i="35"/>
  <c r="G20" i="35"/>
  <c r="G14" i="35"/>
  <c r="G15" i="35"/>
  <c r="G3" i="35"/>
  <c r="G11" i="35"/>
  <c r="G19" i="35"/>
  <c r="G27" i="35"/>
  <c r="G8" i="35"/>
  <c r="G16" i="35"/>
  <c r="G24" i="35"/>
  <c r="G5" i="35"/>
  <c r="G9" i="35"/>
  <c r="G13" i="35"/>
  <c r="G17" i="35"/>
  <c r="G21" i="35"/>
  <c r="G25" i="35"/>
  <c r="H12" i="35"/>
  <c r="G2" i="35"/>
  <c r="H19" i="35"/>
  <c r="H2" i="35"/>
  <c r="H27" i="35"/>
  <c r="H28" i="35"/>
  <c r="H22" i="35"/>
  <c r="G10" i="35"/>
  <c r="F15" i="35"/>
  <c r="F31" i="35"/>
  <c r="G4" i="35"/>
  <c r="G29" i="35"/>
  <c r="H30" i="35"/>
  <c r="G18" i="35"/>
  <c r="F23" i="35"/>
  <c r="G12" i="35"/>
  <c r="G6" i="35"/>
  <c r="G7" i="35"/>
  <c r="G26" i="35"/>
  <c r="F22" i="35"/>
  <c r="F3" i="35"/>
  <c r="F2" i="35"/>
  <c r="F9" i="35"/>
  <c r="F17" i="35"/>
  <c r="F25" i="35"/>
  <c r="F10" i="35"/>
  <c r="F18" i="35"/>
  <c r="F26" i="35"/>
  <c r="F30" i="35"/>
  <c r="F19" i="35"/>
  <c r="F4" i="35"/>
  <c r="F7" i="35"/>
  <c r="F12" i="35"/>
  <c r="F28" i="35"/>
  <c r="G32" i="35" l="1"/>
  <c r="G33" i="35"/>
  <c r="H33" i="35"/>
  <c r="H32" i="35"/>
  <c r="F33" i="35"/>
  <c r="F32" i="35"/>
  <c r="A18" i="23"/>
  <c r="A17" i="23"/>
  <c r="A16" i="23"/>
  <c r="A15" i="23"/>
  <c r="A14" i="23"/>
  <c r="A13" i="23"/>
  <c r="B12" i="23"/>
  <c r="A12" i="23"/>
  <c r="B11" i="23"/>
  <c r="B10" i="23"/>
  <c r="A10" i="23"/>
  <c r="B9" i="23"/>
  <c r="A9" i="23"/>
  <c r="B8" i="23"/>
  <c r="B7" i="23"/>
  <c r="B6" i="23"/>
  <c r="A6" i="23"/>
  <c r="B5" i="23"/>
  <c r="A5" i="23"/>
  <c r="B4" i="23"/>
  <c r="A4" i="23"/>
  <c r="B3" i="23"/>
  <c r="A3" i="23"/>
  <c r="B2" i="23"/>
  <c r="A2" i="23"/>
  <c r="B1" i="23"/>
  <c r="A1" i="23"/>
  <c r="B3" i="10"/>
  <c r="C3" i="10" s="1"/>
  <c r="C2" i="10"/>
  <c r="A8" i="23"/>
  <c r="A7" i="23"/>
  <c r="A11" i="23"/>
  <c r="B3" i="4"/>
  <c r="B2" i="4"/>
  <c r="C3" i="2"/>
  <c r="C4" i="2" s="1"/>
  <c r="C5" i="2" s="1"/>
  <c r="C6" i="2" s="1"/>
  <c r="B3" i="2"/>
  <c r="A40" i="1"/>
  <c r="A36" i="1"/>
  <c r="A31" i="1"/>
  <c r="A27" i="1"/>
  <c r="A17" i="1"/>
  <c r="C14" i="1"/>
  <c r="B14" i="1"/>
  <c r="A14" i="1"/>
  <c r="A11" i="1"/>
  <c r="A8" i="1"/>
  <c r="B4" i="10" l="1"/>
  <c r="B5" i="10" s="1"/>
  <c r="B6" i="10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C18" i="2"/>
  <c r="C5" i="10" l="1"/>
  <c r="C4" i="10"/>
  <c r="A2" i="4"/>
  <c r="B18" i="2"/>
  <c r="E3" i="2" s="1"/>
  <c r="B7" i="10"/>
  <c r="C6" i="10"/>
  <c r="E2" i="2"/>
  <c r="B8" i="10" l="1"/>
  <c r="C7" i="10"/>
  <c r="B9" i="10" l="1"/>
  <c r="C8" i="10"/>
  <c r="B10" i="10" l="1"/>
  <c r="C9" i="10"/>
  <c r="B11" i="10" l="1"/>
  <c r="C10" i="10"/>
  <c r="B12" i="10" l="1"/>
  <c r="C11" i="10"/>
  <c r="B13" i="10" l="1"/>
  <c r="C12" i="10"/>
  <c r="B14" i="10" l="1"/>
  <c r="C13" i="10"/>
  <c r="B15" i="10" l="1"/>
  <c r="C14" i="10"/>
  <c r="B16" i="10" l="1"/>
  <c r="C15" i="10"/>
  <c r="B17" i="10" l="1"/>
  <c r="C17" i="10" s="1"/>
  <c r="C16" i="10"/>
</calcChain>
</file>

<file path=xl/sharedStrings.xml><?xml version="1.0" encoding="utf-8"?>
<sst xmlns="http://schemas.openxmlformats.org/spreadsheetml/2006/main" count="73" uniqueCount="62">
  <si>
    <t>Spreadsheet Crash Course</t>
  </si>
  <si>
    <t>Arithmetic</t>
  </si>
  <si>
    <t>Equals</t>
  </si>
  <si>
    <t>Sum</t>
  </si>
  <si>
    <t>Count</t>
  </si>
  <si>
    <t>Square</t>
  </si>
  <si>
    <t>Log base 2</t>
  </si>
  <si>
    <t>Square Root</t>
  </si>
  <si>
    <t>EXP</t>
  </si>
  <si>
    <t>LN</t>
  </si>
  <si>
    <t>PI</t>
  </si>
  <si>
    <t>Statistical Summaries</t>
  </si>
  <si>
    <t>Mean</t>
  </si>
  <si>
    <t>Standard Deviation</t>
  </si>
  <si>
    <t>Correlation</t>
  </si>
  <si>
    <t>Mode</t>
  </si>
  <si>
    <t>Flow Control</t>
  </si>
  <si>
    <t>Weight (kg)</t>
  </si>
  <si>
    <t>covariance</t>
  </si>
  <si>
    <t>correlation</t>
  </si>
  <si>
    <t>Height vs Weight Example</t>
  </si>
  <si>
    <t>https://www.youtube.com/watch?v=yZXNS5AxmIY</t>
  </si>
  <si>
    <t>https://en.wikipedia.org/wiki/Linear_regression</t>
  </si>
  <si>
    <t>2023831693808432834</t>
  </si>
  <si>
    <t>l095YhDku0CHgYD</t>
  </si>
  <si>
    <t>K2J+</t>
  </si>
  <si>
    <t/>
  </si>
  <si>
    <t>2023831693808424968</t>
  </si>
  <si>
    <t>vrHqkqvFv0HrA0v</t>
  </si>
  <si>
    <t>MSAP</t>
  </si>
  <si>
    <t>X</t>
  </si>
  <si>
    <t>Y</t>
  </si>
  <si>
    <t>Extensions Tab</t>
  </si>
  <si>
    <t>에서 linear regression구글링</t>
  </si>
  <si>
    <t>단순선형회귀식</t>
  </si>
  <si>
    <t>XLMminer Analysis ToolPak</t>
  </si>
  <si>
    <t>그림그리기</t>
  </si>
  <si>
    <t>Charts, Graphs, &amp; Visualization</t>
  </si>
  <si>
    <t>#ERROR!</t>
  </si>
  <si>
    <t>Height (cm)</t>
    <phoneticPr fontId="8" type="noConversion"/>
  </si>
  <si>
    <t>IF, AND</t>
    <phoneticPr fontId="8" type="noConversion"/>
  </si>
  <si>
    <t>Binomial</t>
    <phoneticPr fontId="8" type="noConversion"/>
  </si>
  <si>
    <t>Parameters</t>
    <phoneticPr fontId="8" type="noConversion"/>
  </si>
  <si>
    <r>
      <t xml:space="preserve">0~1 </t>
    </r>
    <r>
      <rPr>
        <sz val="10"/>
        <color theme="1"/>
        <rFont val="Arial"/>
        <family val="2"/>
        <charset val="129"/>
      </rPr>
      <t>구간</t>
    </r>
    <phoneticPr fontId="8" type="noConversion"/>
  </si>
  <si>
    <r>
      <t xml:space="preserve">1~10 </t>
    </r>
    <r>
      <rPr>
        <sz val="10"/>
        <color theme="1"/>
        <rFont val="Arial"/>
        <family val="2"/>
        <charset val="129"/>
      </rPr>
      <t>구간</t>
    </r>
    <phoneticPr fontId="8" type="noConversion"/>
  </si>
  <si>
    <t>Uniform</t>
    <phoneticPr fontId="8" type="noConversion"/>
  </si>
  <si>
    <t>Gaussian</t>
    <phoneticPr fontId="8" type="noConversion"/>
  </si>
  <si>
    <t>Random Numbers</t>
    <phoneticPr fontId="8" type="noConversion"/>
  </si>
  <si>
    <t>Bernoulli</t>
    <phoneticPr fontId="8" type="noConversion"/>
  </si>
  <si>
    <t>mean</t>
    <phoneticPr fontId="8" type="noConversion"/>
  </si>
  <si>
    <t>std</t>
    <phoneticPr fontId="8" type="noConversion"/>
  </si>
  <si>
    <t>trilas</t>
    <phoneticPr fontId="8" type="noConversion"/>
  </si>
  <si>
    <t>success rate</t>
    <phoneticPr fontId="8" type="noConversion"/>
  </si>
  <si>
    <t>Binomial Distribution by claude LLM</t>
    <phoneticPr fontId="8" type="noConversion"/>
  </si>
  <si>
    <t>a</t>
    <phoneticPr fontId="8" type="noConversion"/>
  </si>
  <si>
    <t>b</t>
    <phoneticPr fontId="8" type="noConversion"/>
  </si>
  <si>
    <t>Y_hat</t>
    <phoneticPr fontId="8" type="noConversion"/>
  </si>
  <si>
    <t>error^2</t>
    <phoneticPr fontId="8" type="noConversion"/>
  </si>
  <si>
    <t>MSE</t>
    <phoneticPr fontId="8" type="noConversion"/>
  </si>
  <si>
    <t>Y = Weight(kg)</t>
    <phoneticPr fontId="8" type="noConversion"/>
  </si>
  <si>
    <t>X = Height(cm)</t>
    <phoneticPr fontId="8" type="noConversion"/>
  </si>
  <si>
    <t>error= Y_hat-Y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</si>
</sst>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7" formatCode="0.000"/>
    <numFmt numFmtId="180" formatCode="_-* #,##0.00_-;\-* #,##0.00_-;_-* &quot;-&quot;_-;_-@_-"/>
    <numFmt numFmtId="189" formatCode="#,##0_ "/>
    <numFmt numFmtId="196" formatCode="0.000_ "/>
  </numFmts>
  <fonts count="16" x14ac:knownFonts="1">
    <font>
      <sz val="10"/>
      <color rgb="FF000000"/>
      <name val="Arial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  <scheme val="minor"/>
    </font>
    <font>
      <u/>
      <sz val="10"/>
      <color rgb="FF0000FF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Arial"/>
      <family val="2"/>
      <scheme val="minor"/>
    </font>
    <font>
      <sz val="10"/>
      <color rgb="FF000000"/>
      <name val="Verdana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theme="1"/>
      <name val="Arial"/>
      <family val="2"/>
      <charset val="129"/>
    </font>
    <font>
      <sz val="10"/>
      <color theme="0"/>
      <name val="Verdana"/>
      <family val="2"/>
    </font>
    <font>
      <sz val="10"/>
      <color theme="0"/>
      <name val="Arial"/>
      <family val="2"/>
      <scheme val="minor"/>
    </font>
    <font>
      <u/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0" xfId="0" quotePrefix="1" applyFont="1"/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2" fontId="1" fillId="0" borderId="0" xfId="0" applyNumberFormat="1" applyFont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2" fontId="13" fillId="2" borderId="0" xfId="0" applyNumberFormat="1" applyFont="1" applyFill="1" applyAlignment="1">
      <alignment horizontal="right"/>
    </xf>
    <xf numFmtId="2" fontId="14" fillId="2" borderId="0" xfId="0" applyNumberFormat="1" applyFont="1" applyFill="1" applyAlignment="1">
      <alignment horizontal="right"/>
    </xf>
    <xf numFmtId="2" fontId="7" fillId="0" borderId="0" xfId="0" applyNumberFormat="1" applyFont="1"/>
    <xf numFmtId="2" fontId="2" fillId="3" borderId="0" xfId="0" applyNumberFormat="1" applyFont="1" applyFill="1"/>
    <xf numFmtId="41" fontId="2" fillId="3" borderId="0" xfId="1" applyFont="1" applyFill="1" applyAlignment="1"/>
    <xf numFmtId="180" fontId="13" fillId="2" borderId="0" xfId="1" applyNumberFormat="1" applyFont="1" applyFill="1" applyAlignment="1">
      <alignment horizontal="right"/>
    </xf>
    <xf numFmtId="41" fontId="13" fillId="2" borderId="0" xfId="1" applyFont="1" applyFill="1" applyAlignment="1">
      <alignment horizontal="right"/>
    </xf>
    <xf numFmtId="2" fontId="10" fillId="0" borderId="0" xfId="0" applyNumberFormat="1" applyFont="1" applyAlignment="1">
      <alignment horizontal="right"/>
    </xf>
    <xf numFmtId="2" fontId="10" fillId="0" borderId="2" xfId="0" applyNumberFormat="1" applyFont="1" applyBorder="1" applyAlignment="1">
      <alignment horizontal="right"/>
    </xf>
    <xf numFmtId="2" fontId="11" fillId="0" borderId="2" xfId="0" applyNumberFormat="1" applyFont="1" applyBorder="1" applyAlignment="1">
      <alignment horizontal="right"/>
    </xf>
    <xf numFmtId="2" fontId="7" fillId="0" borderId="2" xfId="0" applyNumberFormat="1" applyFont="1" applyBorder="1"/>
    <xf numFmtId="2" fontId="2" fillId="0" borderId="5" xfId="0" applyNumberFormat="1" applyFont="1" applyBorder="1" applyAlignment="1">
      <alignment horizontal="right"/>
    </xf>
    <xf numFmtId="2" fontId="7" fillId="0" borderId="6" xfId="0" applyNumberFormat="1" applyFont="1" applyBorder="1" applyAlignment="1">
      <alignment horizontal="right"/>
    </xf>
    <xf numFmtId="2" fontId="7" fillId="0" borderId="7" xfId="0" applyNumberFormat="1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right"/>
    </xf>
    <xf numFmtId="2" fontId="7" fillId="0" borderId="3" xfId="0" applyNumberFormat="1" applyFont="1" applyBorder="1" applyAlignment="1">
      <alignment horizontal="right"/>
    </xf>
    <xf numFmtId="41" fontId="2" fillId="0" borderId="8" xfId="1" applyFont="1" applyBorder="1" applyAlignment="1">
      <alignment horizontal="right"/>
    </xf>
    <xf numFmtId="2" fontId="2" fillId="0" borderId="9" xfId="0" applyNumberFormat="1" applyFont="1" applyBorder="1"/>
    <xf numFmtId="2" fontId="2" fillId="0" borderId="2" xfId="0" applyNumberFormat="1" applyFont="1" applyBorder="1"/>
    <xf numFmtId="2" fontId="7" fillId="0" borderId="4" xfId="0" applyNumberFormat="1" applyFont="1" applyBorder="1"/>
    <xf numFmtId="189" fontId="13" fillId="2" borderId="0" xfId="1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2" fontId="13" fillId="2" borderId="0" xfId="0" applyNumberFormat="1" applyFont="1" applyFill="1" applyAlignment="1">
      <alignment horizontal="left"/>
    </xf>
    <xf numFmtId="2" fontId="2" fillId="0" borderId="0" xfId="0" applyNumberFormat="1" applyFont="1"/>
    <xf numFmtId="2" fontId="7" fillId="0" borderId="0" xfId="0" applyNumberFormat="1" applyFont="1"/>
    <xf numFmtId="2" fontId="1" fillId="0" borderId="0" xfId="0" applyNumberFormat="1" applyFont="1"/>
    <xf numFmtId="2" fontId="5" fillId="0" borderId="0" xfId="0" applyNumberFormat="1" applyFont="1"/>
    <xf numFmtId="2" fontId="15" fillId="0" borderId="0" xfId="0" applyNumberFormat="1" applyFont="1"/>
    <xf numFmtId="0" fontId="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 applyAlignment="1">
      <alignment horizontal="right"/>
    </xf>
    <xf numFmtId="177" fontId="2" fillId="0" borderId="0" xfId="0" applyNumberFormat="1" applyFont="1" applyAlignment="1">
      <alignment horizontal="right"/>
    </xf>
    <xf numFmtId="196" fontId="2" fillId="0" borderId="0" xfId="0" applyNumberFormat="1" applyFont="1" applyAlignment="1">
      <alignment horizontal="right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covarianc_correlation!$C$1</c:f>
              <c:strCache>
                <c:ptCount val="1"/>
                <c:pt idx="0">
                  <c:v>Weight (kg)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covarianc_correlation!$B$2:$B$17</c:f>
              <c:numCache>
                <c:formatCode>General</c:formatCode>
                <c:ptCount val="16"/>
                <c:pt idx="0">
                  <c:v>100</c:v>
                </c:pt>
                <c:pt idx="1">
                  <c:v>376</c:v>
                </c:pt>
                <c:pt idx="2">
                  <c:v>546</c:v>
                </c:pt>
                <c:pt idx="3">
                  <c:v>785</c:v>
                </c:pt>
                <c:pt idx="4">
                  <c:v>988</c:v>
                </c:pt>
                <c:pt idx="5">
                  <c:v>1171</c:v>
                </c:pt>
                <c:pt idx="6">
                  <c:v>1438</c:v>
                </c:pt>
                <c:pt idx="7">
                  <c:v>1665</c:v>
                </c:pt>
                <c:pt idx="8">
                  <c:v>1972</c:v>
                </c:pt>
                <c:pt idx="9">
                  <c:v>2253</c:v>
                </c:pt>
                <c:pt idx="10">
                  <c:v>2408</c:v>
                </c:pt>
                <c:pt idx="11">
                  <c:v>2637</c:v>
                </c:pt>
                <c:pt idx="12">
                  <c:v>2889</c:v>
                </c:pt>
                <c:pt idx="13">
                  <c:v>3157</c:v>
                </c:pt>
                <c:pt idx="14">
                  <c:v>3341</c:v>
                </c:pt>
                <c:pt idx="15">
                  <c:v>3579</c:v>
                </c:pt>
              </c:numCache>
            </c:numRef>
          </c:xVal>
          <c:yVal>
            <c:numRef>
              <c:f>covarianc_correlation!$C$2:$C$17</c:f>
              <c:numCache>
                <c:formatCode>General</c:formatCode>
                <c:ptCount val="16"/>
                <c:pt idx="0">
                  <c:v>50.1</c:v>
                </c:pt>
                <c:pt idx="1">
                  <c:v>55.1</c:v>
                </c:pt>
                <c:pt idx="2">
                  <c:v>60.1</c:v>
                </c:pt>
                <c:pt idx="3">
                  <c:v>65.099999999999994</c:v>
                </c:pt>
                <c:pt idx="4">
                  <c:v>70.099999999999994</c:v>
                </c:pt>
                <c:pt idx="5">
                  <c:v>75.099999999999994</c:v>
                </c:pt>
                <c:pt idx="6">
                  <c:v>80.099999999999994</c:v>
                </c:pt>
                <c:pt idx="7">
                  <c:v>85.1</c:v>
                </c:pt>
                <c:pt idx="8">
                  <c:v>90.1</c:v>
                </c:pt>
                <c:pt idx="9">
                  <c:v>95.1</c:v>
                </c:pt>
                <c:pt idx="10">
                  <c:v>100.1</c:v>
                </c:pt>
                <c:pt idx="11">
                  <c:v>105.1</c:v>
                </c:pt>
                <c:pt idx="12">
                  <c:v>110.1</c:v>
                </c:pt>
                <c:pt idx="13">
                  <c:v>115.1</c:v>
                </c:pt>
                <c:pt idx="14">
                  <c:v>120.1</c:v>
                </c:pt>
                <c:pt idx="15">
                  <c:v>125.1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4-4D03-8772-9C3D3027D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360704"/>
        <c:axId val="1042348704"/>
      </c:scatterChart>
      <c:valAx>
        <c:axId val="104236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348704"/>
        <c:crosses val="autoZero"/>
        <c:crossBetween val="midCat"/>
      </c:valAx>
      <c:valAx>
        <c:axId val="104234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236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Weight (kg) vs. Height (cm)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'linear regression'!$B$3</c:f>
              <c:strCache>
                <c:ptCount val="1"/>
                <c:pt idx="0">
                  <c:v>Y = Weight(kg)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1"/>
            <c:trendlineLbl>
              <c:numFmt formatCode="General" sourceLinked="0"/>
            </c:trendlineLbl>
          </c:trendline>
          <c:xVal>
            <c:numRef>
              <c:f>'linear regression'!$A$4:$A$19</c:f>
              <c:numCache>
                <c:formatCode>0.000</c:formatCode>
                <c:ptCount val="16"/>
                <c:pt idx="0">
                  <c:v>1.7995732944241527</c:v>
                </c:pt>
                <c:pt idx="1">
                  <c:v>8.0695138830155599</c:v>
                </c:pt>
                <c:pt idx="2">
                  <c:v>7.1500546287862132</c:v>
                </c:pt>
                <c:pt idx="3">
                  <c:v>2.0065423802115423</c:v>
                </c:pt>
                <c:pt idx="4">
                  <c:v>4.4665627247197399</c:v>
                </c:pt>
                <c:pt idx="5">
                  <c:v>4.0502413813130822</c:v>
                </c:pt>
                <c:pt idx="6">
                  <c:v>8.2880909584538909</c:v>
                </c:pt>
                <c:pt idx="7">
                  <c:v>9.7906691342327559</c:v>
                </c:pt>
                <c:pt idx="8">
                  <c:v>2.3096546944425356</c:v>
                </c:pt>
                <c:pt idx="9">
                  <c:v>8.4008673824439768</c:v>
                </c:pt>
                <c:pt idx="10">
                  <c:v>8.043377354233602</c:v>
                </c:pt>
                <c:pt idx="11">
                  <c:v>4.3941571462151678</c:v>
                </c:pt>
                <c:pt idx="12">
                  <c:v>1.0745370095272824</c:v>
                </c:pt>
                <c:pt idx="13">
                  <c:v>3.0241230711247247</c:v>
                </c:pt>
                <c:pt idx="14">
                  <c:v>7.1211314363575244</c:v>
                </c:pt>
                <c:pt idx="15">
                  <c:v>6.6669587500430598</c:v>
                </c:pt>
              </c:numCache>
            </c:numRef>
          </c:xVal>
          <c:yVal>
            <c:numRef>
              <c:f>'linear regression'!$B$4:$B$19</c:f>
              <c:numCache>
                <c:formatCode>0.000</c:formatCode>
                <c:ptCount val="16"/>
                <c:pt idx="0">
                  <c:v>11.952272050864597</c:v>
                </c:pt>
                <c:pt idx="1">
                  <c:v>31.59923702815842</c:v>
                </c:pt>
                <c:pt idx="2">
                  <c:v>28.230451578897533</c:v>
                </c:pt>
                <c:pt idx="3">
                  <c:v>7.6480679081149399</c:v>
                </c:pt>
                <c:pt idx="4">
                  <c:v>19.255294156130145</c:v>
                </c:pt>
                <c:pt idx="5">
                  <c:v>19.726529571174936</c:v>
                </c:pt>
                <c:pt idx="6">
                  <c:v>30.317590170985607</c:v>
                </c:pt>
                <c:pt idx="7">
                  <c:v>34.452290080515759</c:v>
                </c:pt>
                <c:pt idx="8">
                  <c:v>9.9413978447715792</c:v>
                </c:pt>
                <c:pt idx="9">
                  <c:v>28.139653514780683</c:v>
                </c:pt>
                <c:pt idx="10">
                  <c:v>31.30213988059311</c:v>
                </c:pt>
                <c:pt idx="11">
                  <c:v>16.65009814452166</c:v>
                </c:pt>
                <c:pt idx="12">
                  <c:v>10.251196425177936</c:v>
                </c:pt>
                <c:pt idx="13">
                  <c:v>17.61889169195619</c:v>
                </c:pt>
                <c:pt idx="14">
                  <c:v>26.003084557637472</c:v>
                </c:pt>
                <c:pt idx="15">
                  <c:v>21.283361248764255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59-41D8-ABA4-BFABAE452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863070"/>
        <c:axId val="2015278475"/>
      </c:scatterChart>
      <c:valAx>
        <c:axId val="18918630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Height (cm)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15278475"/>
        <c:crosses val="autoZero"/>
        <c:crossBetween val="midCat"/>
      </c:valAx>
      <c:valAx>
        <c:axId val="2015278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Weight (kg)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89186307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894561018895498E-2"/>
          <c:y val="0.16048301695060344"/>
          <c:w val="0.23083829209729617"/>
          <c:h val="0.1196789643798470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Y vs. 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bias_variance!$C$1</c:f>
              <c:strCache>
                <c:ptCount val="1"/>
                <c:pt idx="0">
                  <c:v>Y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bias_variance!$B$2:$B$19</c:f>
              <c:strCache>
                <c:ptCount val="18"/>
                <c:pt idx="0">
                  <c:v>0.00</c:v>
                </c:pt>
                <c:pt idx="1">
                  <c:v>100.00</c:v>
                </c:pt>
                <c:pt idx="2">
                  <c:v>200.00</c:v>
                </c:pt>
                <c:pt idx="3">
                  <c:v>300.00</c:v>
                </c:pt>
                <c:pt idx="4">
                  <c:v>400.00</c:v>
                </c:pt>
                <c:pt idx="5">
                  <c:v>500.00</c:v>
                </c:pt>
                <c:pt idx="6">
                  <c:v>600.00</c:v>
                </c:pt>
                <c:pt idx="7">
                  <c:v>700.00</c:v>
                </c:pt>
                <c:pt idx="8">
                  <c:v>800.00</c:v>
                </c:pt>
                <c:pt idx="9">
                  <c:v>900.00</c:v>
                </c:pt>
                <c:pt idx="10">
                  <c:v>1000.00</c:v>
                </c:pt>
                <c:pt idx="11">
                  <c:v>1100.00</c:v>
                </c:pt>
                <c:pt idx="12">
                  <c:v>1200.00</c:v>
                </c:pt>
                <c:pt idx="13">
                  <c:v>1300.00</c:v>
                </c:pt>
                <c:pt idx="14">
                  <c:v>1400.00</c:v>
                </c:pt>
                <c:pt idx="15">
                  <c:v>1500.00</c:v>
                </c:pt>
                <c:pt idx="17">
                  <c:v>에서 linear regression구글링</c:v>
                </c:pt>
              </c:strCache>
            </c:strRef>
          </c:xVal>
          <c:yVal>
            <c:numRef>
              <c:f>bias_variance!$C$2:$C$19</c:f>
              <c:numCache>
                <c:formatCode>0.00</c:formatCode>
                <c:ptCount val="18"/>
                <c:pt idx="0">
                  <c:v>89.554902526714741</c:v>
                </c:pt>
                <c:pt idx="1">
                  <c:v>9.8296921876965051</c:v>
                </c:pt>
                <c:pt idx="2">
                  <c:v>100.35091933259505</c:v>
                </c:pt>
                <c:pt idx="3">
                  <c:v>0.22921934633963109</c:v>
                </c:pt>
                <c:pt idx="4">
                  <c:v>95.393347730945905</c:v>
                </c:pt>
                <c:pt idx="5">
                  <c:v>40.691741826326179</c:v>
                </c:pt>
                <c:pt idx="6">
                  <c:v>52.557724753235007</c:v>
                </c:pt>
                <c:pt idx="7">
                  <c:v>47.076763834543186</c:v>
                </c:pt>
                <c:pt idx="8">
                  <c:v>92.591712220640844</c:v>
                </c:pt>
                <c:pt idx="9">
                  <c:v>55.537482608513507</c:v>
                </c:pt>
                <c:pt idx="10">
                  <c:v>56.421237983093206</c:v>
                </c:pt>
                <c:pt idx="11">
                  <c:v>47.326081732460565</c:v>
                </c:pt>
                <c:pt idx="12">
                  <c:v>27.230419479259215</c:v>
                </c:pt>
                <c:pt idx="13">
                  <c:v>83.482637468835435</c:v>
                </c:pt>
                <c:pt idx="14">
                  <c:v>86.520161414832117</c:v>
                </c:pt>
                <c:pt idx="15">
                  <c:v>43.772568746027318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57-4E5E-8B6F-0C5430DAB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3146727"/>
        <c:axId val="1205222407"/>
      </c:scatterChart>
      <c:valAx>
        <c:axId val="14331467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205222407"/>
        <c:crosses val="autoZero"/>
        <c:crossBetween val="midCat"/>
      </c:valAx>
      <c:valAx>
        <c:axId val="1205222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43314672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53339</xdr:colOff>
      <xdr:row>45</xdr:row>
      <xdr:rowOff>106680</xdr:rowOff>
    </xdr:from>
    <xdr:to>
      <xdr:col>9</xdr:col>
      <xdr:colOff>8410</xdr:colOff>
      <xdr:row>54</xdr:row>
      <xdr:rowOff>37085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4D37BED-F565-F18C-1B06-AC7106831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3439" y="7345680"/>
          <a:ext cx="3643151" cy="1408685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</xdr:colOff>
      <xdr:row>56</xdr:row>
      <xdr:rowOff>44622</xdr:rowOff>
    </xdr:from>
    <xdr:to>
      <xdr:col>8</xdr:col>
      <xdr:colOff>160369</xdr:colOff>
      <xdr:row>62</xdr:row>
      <xdr:rowOff>61081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FA0FDA-EBD5-8482-D3AF-66C8B6AE4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0580" y="9043842"/>
          <a:ext cx="2895949" cy="1014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487680</xdr:colOff>
      <xdr:row>3</xdr:row>
      <xdr:rowOff>144781</xdr:rowOff>
    </xdr:from>
    <xdr:to>
      <xdr:col>15</xdr:col>
      <xdr:colOff>362139</xdr:colOff>
      <xdr:row>13</xdr:row>
      <xdr:rowOff>135039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EBC3261-0142-E891-050E-57B2E2D2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5960" y="647701"/>
          <a:ext cx="3532059" cy="1666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464820</xdr:colOff>
      <xdr:row>16</xdr:row>
      <xdr:rowOff>127014</xdr:rowOff>
    </xdr:from>
    <xdr:to>
      <xdr:col>15</xdr:col>
      <xdr:colOff>419100</xdr:colOff>
      <xdr:row>26</xdr:row>
      <xdr:rowOff>154936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3C11D1B-D3EA-3795-3F60-B20D0811A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2809254"/>
          <a:ext cx="3611880" cy="1704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281940</xdr:colOff>
      <xdr:row>1</xdr:row>
      <xdr:rowOff>41910</xdr:rowOff>
    </xdr:from>
    <xdr:to>
      <xdr:col>11</xdr:col>
      <xdr:colOff>800100</xdr:colOff>
      <xdr:row>20</xdr:row>
      <xdr:rowOff>22860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961D92C-BAFB-516B-0675-45A7D73BE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422910</xdr:colOff>
      <xdr:row>2</xdr:row>
      <xdr:rowOff>169545</xdr:rowOff>
    </xdr:from>
    <xdr:ext cx="7806689" cy="441198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542925</xdr:colOff>
      <xdr:row>1</xdr:row>
      <xdr:rowOff>200025</xdr:rowOff>
    </xdr:from>
    <xdr:ext cx="6867525" cy="26193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gress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ress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en.wikipedia.org/wiki/Linear_regression" TargetMode="External"/><Relationship Id="rId1" Type="http://schemas.openxmlformats.org/officeDocument/2006/relationships/hyperlink" Target="https://www.youtube.com/watch?v=yZXNS5AxmIY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8"/>
  <sheetViews>
    <sheetView showGridLines="0" tabSelected="1" workbookViewId="0">
      <selection activeCell="L42" sqref="L42"/>
    </sheetView>
  </sheetViews>
  <sheetFormatPr defaultColWidth="13.42578125" defaultRowHeight="15.75" customHeight="1" x14ac:dyDescent="0.2"/>
  <cols>
    <col min="1" max="1" width="21.28515625" style="13" bestFit="1" customWidth="1"/>
    <col min="2" max="2" width="16.28515625" style="13" bestFit="1" customWidth="1"/>
    <col min="3" max="16384" width="13.42578125" style="13"/>
  </cols>
  <sheetData>
    <row r="1" spans="1:3" ht="12.75" x14ac:dyDescent="0.2">
      <c r="A1" s="38" t="s">
        <v>0</v>
      </c>
      <c r="B1" s="39"/>
      <c r="C1" s="9"/>
    </row>
    <row r="2" spans="1:3" ht="12.75" x14ac:dyDescent="0.2">
      <c r="A2" s="9"/>
      <c r="B2" s="9"/>
      <c r="C2" s="9"/>
    </row>
    <row r="3" spans="1:3" ht="12.75" x14ac:dyDescent="0.2">
      <c r="A3" s="8" t="s">
        <v>1</v>
      </c>
      <c r="B3" s="9"/>
      <c r="C3" s="9"/>
    </row>
    <row r="4" spans="1:3" ht="12.75" x14ac:dyDescent="0.2">
      <c r="A4" s="9" t="s">
        <v>2</v>
      </c>
      <c r="B4" s="10">
        <v>2</v>
      </c>
      <c r="C4" s="9"/>
    </row>
    <row r="5" spans="1:3" ht="12.75" x14ac:dyDescent="0.2">
      <c r="A5" s="9"/>
      <c r="B5" s="9"/>
      <c r="C5" s="9"/>
    </row>
    <row r="6" spans="1:3" ht="12.75" x14ac:dyDescent="0.2">
      <c r="A6" s="9" t="s">
        <v>3</v>
      </c>
      <c r="B6" s="9"/>
      <c r="C6" s="9"/>
    </row>
    <row r="7" spans="1:3" ht="12.75" x14ac:dyDescent="0.2">
      <c r="A7" s="10">
        <v>1</v>
      </c>
      <c r="B7" s="10">
        <v>2</v>
      </c>
      <c r="C7" s="10">
        <v>3</v>
      </c>
    </row>
    <row r="8" spans="1:3" ht="12.75" x14ac:dyDescent="0.2">
      <c r="A8" s="10">
        <f>SUM(A7:C7)</f>
        <v>6</v>
      </c>
      <c r="B8" s="9"/>
      <c r="C8" s="9"/>
    </row>
    <row r="9" spans="1:3" ht="12.75" x14ac:dyDescent="0.2">
      <c r="A9" s="9"/>
      <c r="B9" s="9"/>
      <c r="C9" s="9"/>
    </row>
    <row r="10" spans="1:3" ht="12.75" x14ac:dyDescent="0.2">
      <c r="A10" s="9" t="s">
        <v>4</v>
      </c>
      <c r="B10" s="9"/>
      <c r="C10" s="9"/>
    </row>
    <row r="11" spans="1:3" ht="12.75" x14ac:dyDescent="0.2">
      <c r="A11" s="10">
        <f>COUNT(A7:C7)</f>
        <v>3</v>
      </c>
      <c r="B11" s="9"/>
      <c r="C11" s="9"/>
    </row>
    <row r="12" spans="1:3" ht="12.75" x14ac:dyDescent="0.2">
      <c r="A12" s="9"/>
      <c r="B12" s="9"/>
      <c r="C12" s="9"/>
    </row>
    <row r="13" spans="1:3" ht="12.75" x14ac:dyDescent="0.2">
      <c r="A13" s="9" t="s">
        <v>5</v>
      </c>
      <c r="B13" s="9" t="s">
        <v>6</v>
      </c>
      <c r="C13" s="9" t="s">
        <v>7</v>
      </c>
    </row>
    <row r="14" spans="1:3" ht="12.75" x14ac:dyDescent="0.2">
      <c r="A14" s="10">
        <f>2^2</f>
        <v>4</v>
      </c>
      <c r="B14" s="10">
        <f>LOG(2)</f>
        <v>0.3010299956639812</v>
      </c>
      <c r="C14" s="10">
        <f>SQRT(2)</f>
        <v>1.4142135623730951</v>
      </c>
    </row>
    <row r="15" spans="1:3" ht="12.75" x14ac:dyDescent="0.2">
      <c r="A15" s="9"/>
      <c r="B15" s="9"/>
      <c r="C15" s="9"/>
    </row>
    <row r="16" spans="1:3" ht="12.75" x14ac:dyDescent="0.2">
      <c r="A16" s="9" t="s">
        <v>8</v>
      </c>
      <c r="B16" s="9" t="s">
        <v>9</v>
      </c>
      <c r="C16" s="9"/>
    </row>
    <row r="17" spans="1:3" ht="12.75" x14ac:dyDescent="0.2">
      <c r="A17" s="10">
        <f>EXP(2)</f>
        <v>7.3890560989306504</v>
      </c>
      <c r="B17" s="10">
        <v>2</v>
      </c>
      <c r="C17" s="9"/>
    </row>
    <row r="18" spans="1:3" ht="12.75" x14ac:dyDescent="0.2">
      <c r="A18" s="9"/>
      <c r="B18" s="9"/>
      <c r="C18" s="9"/>
    </row>
    <row r="19" spans="1:3" ht="12.75" x14ac:dyDescent="0.2">
      <c r="A19" s="9" t="s">
        <v>10</v>
      </c>
      <c r="B19" s="9"/>
      <c r="C19" s="9"/>
    </row>
    <row r="20" spans="1:3" ht="12.75" x14ac:dyDescent="0.2">
      <c r="A20" s="10">
        <v>3.1415926540000001</v>
      </c>
      <c r="B20" s="9"/>
      <c r="C20" s="9"/>
    </row>
    <row r="21" spans="1:3" ht="12.75" x14ac:dyDescent="0.2">
      <c r="A21" s="9"/>
      <c r="B21" s="9"/>
      <c r="C21" s="9"/>
    </row>
    <row r="22" spans="1:3" ht="12.75" x14ac:dyDescent="0.2">
      <c r="A22" s="9"/>
      <c r="B22" s="9"/>
      <c r="C22" s="9"/>
    </row>
    <row r="23" spans="1:3" ht="12.75" x14ac:dyDescent="0.2">
      <c r="A23" s="40" t="s">
        <v>11</v>
      </c>
      <c r="B23" s="41"/>
      <c r="C23" s="9"/>
    </row>
    <row r="24" spans="1:3" ht="12.75" x14ac:dyDescent="0.2">
      <c r="A24" s="9"/>
      <c r="B24" s="9"/>
      <c r="C24" s="9"/>
    </row>
    <row r="25" spans="1:3" ht="12.75" x14ac:dyDescent="0.2">
      <c r="A25" s="9" t="s">
        <v>12</v>
      </c>
      <c r="B25" s="9"/>
      <c r="C25" s="9"/>
    </row>
    <row r="26" spans="1:3" ht="12.75" x14ac:dyDescent="0.2">
      <c r="A26" s="10">
        <v>4</v>
      </c>
      <c r="B26" s="10">
        <v>5</v>
      </c>
      <c r="C26" s="10">
        <v>8</v>
      </c>
    </row>
    <row r="27" spans="1:3" ht="12.75" x14ac:dyDescent="0.2">
      <c r="A27" s="11">
        <f>AVERAGE(A26:C26)</f>
        <v>5.666666666666667</v>
      </c>
      <c r="B27" s="9"/>
      <c r="C27" s="9"/>
    </row>
    <row r="28" spans="1:3" ht="12.75" x14ac:dyDescent="0.2">
      <c r="A28" s="9"/>
      <c r="B28" s="9"/>
      <c r="C28" s="9"/>
    </row>
    <row r="29" spans="1:3" ht="12.75" x14ac:dyDescent="0.2">
      <c r="A29" s="38" t="s">
        <v>13</v>
      </c>
      <c r="B29" s="39"/>
      <c r="C29" s="9"/>
    </row>
    <row r="30" spans="1:3" ht="12.75" x14ac:dyDescent="0.2">
      <c r="A30" s="10">
        <v>1</v>
      </c>
      <c r="B30" s="10">
        <v>2</v>
      </c>
      <c r="C30" s="10">
        <v>3</v>
      </c>
    </row>
    <row r="31" spans="1:3" ht="12.75" x14ac:dyDescent="0.2">
      <c r="A31" s="11">
        <f>STDEV(A30:C30)</f>
        <v>1</v>
      </c>
      <c r="B31" s="9"/>
      <c r="C31" s="9"/>
    </row>
    <row r="32" spans="1:3" ht="12.75" x14ac:dyDescent="0.2">
      <c r="A32" s="9"/>
      <c r="B32" s="9"/>
      <c r="C32" s="9"/>
    </row>
    <row r="33" spans="1:6" ht="12.75" x14ac:dyDescent="0.2">
      <c r="A33" s="9" t="s">
        <v>14</v>
      </c>
      <c r="B33" s="9"/>
      <c r="C33" s="9"/>
    </row>
    <row r="34" spans="1:6" ht="12.75" x14ac:dyDescent="0.2">
      <c r="A34" s="10">
        <v>2</v>
      </c>
      <c r="B34" s="10">
        <v>3</v>
      </c>
      <c r="C34" s="10">
        <v>4</v>
      </c>
    </row>
    <row r="35" spans="1:6" ht="12.75" x14ac:dyDescent="0.2">
      <c r="A35" s="10">
        <v>4</v>
      </c>
      <c r="B35" s="10">
        <v>8</v>
      </c>
      <c r="C35" s="10">
        <v>-12</v>
      </c>
    </row>
    <row r="36" spans="1:6" ht="12.75" x14ac:dyDescent="0.2">
      <c r="A36" s="11">
        <f>CORREL(A34:C34,A35:C35)</f>
        <v>-0.75592894601845428</v>
      </c>
      <c r="B36" s="9"/>
      <c r="C36" s="9"/>
    </row>
    <row r="37" spans="1:6" ht="12.75" x14ac:dyDescent="0.2">
      <c r="A37" s="9"/>
      <c r="B37" s="9"/>
      <c r="C37" s="9"/>
    </row>
    <row r="38" spans="1:6" ht="12.75" x14ac:dyDescent="0.2">
      <c r="A38" s="9" t="s">
        <v>15</v>
      </c>
      <c r="B38" s="9"/>
      <c r="C38" s="9"/>
    </row>
    <row r="39" spans="1:6" ht="12.75" x14ac:dyDescent="0.2">
      <c r="A39" s="10">
        <v>2</v>
      </c>
      <c r="B39" s="10">
        <v>3</v>
      </c>
      <c r="C39" s="10">
        <v>3</v>
      </c>
      <c r="D39" s="9">
        <v>3</v>
      </c>
      <c r="E39" s="9">
        <v>3</v>
      </c>
      <c r="F39" s="9">
        <v>2</v>
      </c>
    </row>
    <row r="40" spans="1:6" ht="12.75" x14ac:dyDescent="0.2">
      <c r="A40" s="11">
        <f>MODE(A39:F39)</f>
        <v>3</v>
      </c>
      <c r="B40" s="9"/>
      <c r="C40" s="9"/>
    </row>
    <row r="41" spans="1:6" ht="12.75" x14ac:dyDescent="0.2">
      <c r="A41" s="9"/>
      <c r="B41" s="9"/>
      <c r="C41" s="9"/>
    </row>
    <row r="42" spans="1:6" ht="12.75" x14ac:dyDescent="0.2">
      <c r="A42" s="8" t="s">
        <v>47</v>
      </c>
      <c r="B42" s="9"/>
      <c r="C42" s="9"/>
    </row>
    <row r="43" spans="1:6" ht="12.75" x14ac:dyDescent="0.2">
      <c r="A43" s="8"/>
      <c r="B43" s="9"/>
      <c r="C43" s="9"/>
    </row>
    <row r="44" spans="1:6" ht="12.75" x14ac:dyDescent="0.2">
      <c r="A44" s="9" t="s">
        <v>45</v>
      </c>
      <c r="B44" s="9"/>
      <c r="C44" s="9"/>
    </row>
    <row r="45" spans="1:6" ht="15.75" customHeight="1" x14ac:dyDescent="0.2">
      <c r="A45" s="9" t="s">
        <v>43</v>
      </c>
      <c r="B45" s="9" t="s">
        <v>44</v>
      </c>
      <c r="C45" s="9"/>
    </row>
    <row r="46" spans="1:6" ht="12.75" x14ac:dyDescent="0.2">
      <c r="A46" s="11">
        <f ca="1">RAND()</f>
        <v>0.28545674077945082</v>
      </c>
      <c r="B46" s="11">
        <f ca="1">RAND()*9+1</f>
        <v>2.3438512699014566</v>
      </c>
      <c r="C46" s="9"/>
    </row>
    <row r="47" spans="1:6" ht="12.75" x14ac:dyDescent="0.2">
      <c r="A47" s="9"/>
      <c r="B47" s="9"/>
      <c r="C47" s="9"/>
    </row>
    <row r="48" spans="1:6" ht="12.75" x14ac:dyDescent="0.2">
      <c r="A48" s="9"/>
      <c r="B48" s="9"/>
      <c r="C48" s="42" t="s">
        <v>42</v>
      </c>
      <c r="D48" s="42"/>
    </row>
    <row r="49" spans="1:6" ht="13.5" x14ac:dyDescent="0.25">
      <c r="A49" s="9" t="s">
        <v>48</v>
      </c>
      <c r="B49" s="19" t="s">
        <v>51</v>
      </c>
      <c r="C49" s="20" t="s">
        <v>52</v>
      </c>
      <c r="D49" s="21"/>
    </row>
    <row r="50" spans="1:6" ht="12.75" x14ac:dyDescent="0.2">
      <c r="A50" s="9"/>
      <c r="B50" s="22">
        <v>1</v>
      </c>
      <c r="C50" s="23">
        <v>0.5</v>
      </c>
      <c r="D50" s="24"/>
    </row>
    <row r="51" spans="1:6" ht="12.75" x14ac:dyDescent="0.2">
      <c r="A51" s="32">
        <f ca="1" xml:space="preserve"> CRITBINOM(B50, C50, RAND())</f>
        <v>1</v>
      </c>
      <c r="B51" s="25"/>
      <c r="C51" s="10"/>
      <c r="D51" s="26"/>
      <c r="E51" s="10"/>
      <c r="F51" s="10"/>
    </row>
    <row r="52" spans="1:6" ht="12.75" x14ac:dyDescent="0.2">
      <c r="A52" s="10"/>
      <c r="B52" s="25"/>
      <c r="C52" s="10"/>
      <c r="D52" s="26"/>
      <c r="E52" s="10"/>
      <c r="F52" s="10"/>
    </row>
    <row r="53" spans="1:6" ht="12.75" x14ac:dyDescent="0.2">
      <c r="A53" s="9" t="s">
        <v>41</v>
      </c>
      <c r="B53" s="25"/>
      <c r="C53" s="10"/>
      <c r="D53" s="27"/>
    </row>
    <row r="54" spans="1:6" ht="12.75" x14ac:dyDescent="0.2">
      <c r="B54" s="28">
        <v>10000000</v>
      </c>
      <c r="C54" s="10">
        <v>0.5</v>
      </c>
      <c r="D54" s="27">
        <f>1-C54</f>
        <v>0.5</v>
      </c>
    </row>
    <row r="55" spans="1:6" ht="12.75" x14ac:dyDescent="0.2">
      <c r="A55" s="17">
        <f ca="1" xml:space="preserve"> CRITBINOM(B54, C54, RAND())</f>
        <v>4997852</v>
      </c>
      <c r="B55" s="29"/>
      <c r="C55" s="30"/>
      <c r="D55" s="31"/>
    </row>
    <row r="56" spans="1:6" ht="12.75" x14ac:dyDescent="0.2">
      <c r="A56" s="9"/>
      <c r="B56" s="9"/>
      <c r="C56" s="9"/>
    </row>
    <row r="57" spans="1:6" ht="13.5" x14ac:dyDescent="0.25">
      <c r="A57" s="9" t="s">
        <v>46</v>
      </c>
      <c r="B57" s="18" t="s">
        <v>49</v>
      </c>
      <c r="C57" s="10" t="s">
        <v>50</v>
      </c>
    </row>
    <row r="58" spans="1:6" ht="12.75" x14ac:dyDescent="0.2">
      <c r="B58" s="15">
        <f>B54*C54</f>
        <v>5000000</v>
      </c>
      <c r="C58" s="14">
        <f>SQRT(B54*C54*D54)</f>
        <v>1581.1388300841897</v>
      </c>
    </row>
    <row r="59" spans="1:6" ht="12.75" x14ac:dyDescent="0.2">
      <c r="A59" s="16">
        <f ca="1">_xlfn.NORM.INV(RAND(), B58, C58)</f>
        <v>5001531.652776204</v>
      </c>
      <c r="B59" s="9"/>
      <c r="C59" s="9"/>
    </row>
    <row r="60" spans="1:6" ht="12.75" x14ac:dyDescent="0.2">
      <c r="A60" s="9"/>
      <c r="B60" s="9"/>
      <c r="C60" s="9"/>
    </row>
    <row r="61" spans="1:6" ht="12.75" x14ac:dyDescent="0.2">
      <c r="A61" s="9" t="s">
        <v>16</v>
      </c>
      <c r="B61" s="9"/>
      <c r="C61" s="9"/>
    </row>
    <row r="62" spans="1:6" ht="12.75" x14ac:dyDescent="0.2">
      <c r="A62" s="9"/>
      <c r="B62" s="9"/>
      <c r="C62" s="9"/>
    </row>
    <row r="63" spans="1:6" ht="12.75" x14ac:dyDescent="0.2">
      <c r="A63" s="9" t="s">
        <v>40</v>
      </c>
      <c r="B63" s="9"/>
      <c r="C63" s="9"/>
    </row>
    <row r="64" spans="1:6" ht="12.75" x14ac:dyDescent="0.2">
      <c r="A64" s="9"/>
      <c r="B64" s="9"/>
      <c r="C64" s="9"/>
    </row>
    <row r="65" spans="3:3" ht="15.75" customHeight="1" x14ac:dyDescent="0.2">
      <c r="C65" s="9"/>
    </row>
    <row r="66" spans="3:3" ht="15.75" customHeight="1" x14ac:dyDescent="0.2">
      <c r="C66" s="9"/>
    </row>
    <row r="67" spans="3:3" ht="15.75" customHeight="1" x14ac:dyDescent="0.2">
      <c r="C67" s="9"/>
    </row>
    <row r="68" spans="3:3" ht="15.75" customHeight="1" x14ac:dyDescent="0.2">
      <c r="C68" s="9"/>
    </row>
  </sheetData>
  <mergeCells count="4">
    <mergeCell ref="A1:B1"/>
    <mergeCell ref="A23:B23"/>
    <mergeCell ref="A29:B29"/>
    <mergeCell ref="C48:D48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2C94-0985-4066-8E41-9C248BBEF6E6}">
  <dimension ref="A1:R41"/>
  <sheetViews>
    <sheetView showGridLines="0" topLeftCell="A10" workbookViewId="0">
      <selection activeCell="T22" sqref="T22"/>
    </sheetView>
  </sheetViews>
  <sheetFormatPr defaultColWidth="8.85546875" defaultRowHeight="12.75" x14ac:dyDescent="0.2"/>
  <cols>
    <col min="1" max="1" width="6" style="7" bestFit="1" customWidth="1"/>
    <col min="2" max="2" width="9.140625" style="7" bestFit="1" customWidth="1"/>
    <col min="3" max="3" width="8.42578125" style="7" bestFit="1" customWidth="1"/>
    <col min="4" max="4" width="9.140625" style="7" bestFit="1" customWidth="1"/>
    <col min="5" max="5" width="8.85546875" style="7"/>
    <col min="6" max="6" width="9.140625" style="7" bestFit="1" customWidth="1"/>
    <col min="7" max="7" width="8.42578125" style="7" bestFit="1" customWidth="1"/>
    <col min="8" max="8" width="9.140625" style="7" bestFit="1" customWidth="1"/>
    <col min="9" max="16384" width="8.85546875" style="7"/>
  </cols>
  <sheetData>
    <row r="1" spans="2:13" x14ac:dyDescent="0.2">
      <c r="B1" s="10" t="s">
        <v>45</v>
      </c>
      <c r="C1" s="33" t="s">
        <v>41</v>
      </c>
      <c r="D1" s="33" t="s">
        <v>46</v>
      </c>
      <c r="F1" s="10" t="s">
        <v>45</v>
      </c>
      <c r="G1" s="33" t="s">
        <v>41</v>
      </c>
      <c r="H1" s="33" t="s">
        <v>46</v>
      </c>
    </row>
    <row r="2" spans="2:13" x14ac:dyDescent="0.2">
      <c r="B2" s="34">
        <f ca="1">RAND()</f>
        <v>0.96708957254121386</v>
      </c>
      <c r="C2" s="7">
        <f ca="1" xml:space="preserve"> CRITBINOM(1000, 0.5, RAND())</f>
        <v>494</v>
      </c>
      <c r="D2" s="34">
        <f ca="1">_xlfn.NORM.INV(RAND(), 0, 1)</f>
        <v>3.3601619865617827E-2</v>
      </c>
      <c r="E2" s="34"/>
      <c r="F2" s="34">
        <f ca="1">(B2-B$32)/B$33</f>
        <v>1.4062332319975532</v>
      </c>
      <c r="G2" s="34">
        <f t="shared" ref="G2:H17" ca="1" si="0">(C2-C$32)/C$33</f>
        <v>-0.34900276534540281</v>
      </c>
      <c r="H2" s="34">
        <f t="shared" ca="1" si="0"/>
        <v>-7.9790104598926895E-2</v>
      </c>
    </row>
    <row r="3" spans="2:13" x14ac:dyDescent="0.2">
      <c r="B3" s="34">
        <f t="shared" ref="B3:B31" ca="1" si="1">RAND()</f>
        <v>0.34093805599331495</v>
      </c>
      <c r="C3" s="7">
        <f t="shared" ref="C3:C31" ca="1" si="2" xml:space="preserve"> CRITBINOM(1000, 0.5, RAND())</f>
        <v>498</v>
      </c>
      <c r="D3" s="34">
        <f t="shared" ref="D3:D31" ca="1" si="3">_xlfn.NORM.INV(RAND(), 0, 1)</f>
        <v>2.1900217623026728</v>
      </c>
      <c r="E3" s="34"/>
      <c r="F3" s="34">
        <f t="shared" ref="F3:F31" ca="1" si="4">(B3-B$32)/B$33</f>
        <v>-0.5705529658042241</v>
      </c>
      <c r="G3" s="34">
        <f t="shared" ca="1" si="0"/>
        <v>-6.2151177390277659E-2</v>
      </c>
      <c r="H3" s="34">
        <f t="shared" ca="1" si="0"/>
        <v>1.5526698272960349</v>
      </c>
      <c r="L3" s="35"/>
      <c r="M3" s="33" t="s">
        <v>53</v>
      </c>
    </row>
    <row r="4" spans="2:13" x14ac:dyDescent="0.2">
      <c r="B4" s="34">
        <f t="shared" ca="1" si="1"/>
        <v>0.67525923986933567</v>
      </c>
      <c r="C4" s="7">
        <f t="shared" ca="1" si="2"/>
        <v>482</v>
      </c>
      <c r="D4" s="34">
        <f t="shared" ca="1" si="3"/>
        <v>2.0086667026252276</v>
      </c>
      <c r="E4" s="34"/>
      <c r="F4" s="34">
        <f t="shared" ca="1" si="4"/>
        <v>0.48491281915856327</v>
      </c>
      <c r="G4" s="34">
        <f t="shared" ca="1" si="0"/>
        <v>-1.2095575292107783</v>
      </c>
      <c r="H4" s="34">
        <f t="shared" ca="1" si="0"/>
        <v>1.4153798518670047</v>
      </c>
    </row>
    <row r="5" spans="2:13" x14ac:dyDescent="0.2">
      <c r="B5" s="34">
        <f t="shared" ca="1" si="1"/>
        <v>5.2050022086487568E-2</v>
      </c>
      <c r="C5" s="7">
        <f t="shared" ca="1" si="2"/>
        <v>509</v>
      </c>
      <c r="D5" s="34">
        <f t="shared" ca="1" si="3"/>
        <v>-1.3356633153723536</v>
      </c>
      <c r="E5" s="34"/>
      <c r="F5" s="34">
        <f t="shared" ca="1" si="4"/>
        <v>-1.4825844199249982</v>
      </c>
      <c r="G5" s="34">
        <f t="shared" ca="1" si="0"/>
        <v>0.72669068948631643</v>
      </c>
      <c r="H5" s="34">
        <f t="shared" ca="1" si="0"/>
        <v>-1.1163553355277067</v>
      </c>
    </row>
    <row r="6" spans="2:13" x14ac:dyDescent="0.2">
      <c r="B6" s="34">
        <f t="shared" ca="1" si="1"/>
        <v>0.64850072837742745</v>
      </c>
      <c r="C6" s="7">
        <f t="shared" ca="1" si="2"/>
        <v>481</v>
      </c>
      <c r="D6" s="34">
        <f t="shared" ca="1" si="3"/>
        <v>0.97237509366120245</v>
      </c>
      <c r="E6" s="34"/>
      <c r="F6" s="34">
        <f t="shared" ca="1" si="4"/>
        <v>0.40043509325198068</v>
      </c>
      <c r="G6" s="34">
        <f t="shared" ca="1" si="0"/>
        <v>-1.2812704261995596</v>
      </c>
      <c r="H6" s="34">
        <f t="shared" ca="1" si="0"/>
        <v>0.63088313153825137</v>
      </c>
    </row>
    <row r="7" spans="2:13" x14ac:dyDescent="0.2">
      <c r="B7" s="34">
        <f t="shared" ca="1" si="1"/>
        <v>0.34687126458225181</v>
      </c>
      <c r="C7" s="7">
        <f t="shared" ca="1" si="2"/>
        <v>492</v>
      </c>
      <c r="D7" s="34">
        <f t="shared" ca="1" si="3"/>
        <v>0.62524724929377873</v>
      </c>
      <c r="E7" s="34"/>
      <c r="F7" s="34">
        <f t="shared" ca="1" si="4"/>
        <v>-0.55182158124741265</v>
      </c>
      <c r="G7" s="34">
        <f t="shared" ca="1" si="0"/>
        <v>-0.49242855932296536</v>
      </c>
      <c r="H7" s="34">
        <f t="shared" ca="1" si="0"/>
        <v>0.36809932330760164</v>
      </c>
    </row>
    <row r="8" spans="2:13" x14ac:dyDescent="0.2">
      <c r="B8" s="34">
        <f t="shared" ca="1" si="1"/>
        <v>0.86545359737116678</v>
      </c>
      <c r="C8" s="7">
        <f t="shared" ca="1" si="2"/>
        <v>477</v>
      </c>
      <c r="D8" s="34">
        <f t="shared" ca="1" si="3"/>
        <v>-0.4583408064956741</v>
      </c>
      <c r="E8" s="34"/>
      <c r="F8" s="34">
        <f t="shared" ca="1" si="4"/>
        <v>1.0853642608195462</v>
      </c>
      <c r="G8" s="34">
        <f t="shared" ca="1" si="0"/>
        <v>-1.5681220141546846</v>
      </c>
      <c r="H8" s="34">
        <f t="shared" ca="1" si="0"/>
        <v>-0.45220190136799659</v>
      </c>
    </row>
    <row r="9" spans="2:13" x14ac:dyDescent="0.2">
      <c r="B9" s="34">
        <f t="shared" ca="1" si="1"/>
        <v>0.91220662173355671</v>
      </c>
      <c r="C9" s="7">
        <f t="shared" ca="1" si="2"/>
        <v>516</v>
      </c>
      <c r="D9" s="34">
        <f t="shared" ca="1" si="3"/>
        <v>-0.92337003785659344</v>
      </c>
      <c r="E9" s="34"/>
      <c r="F9" s="34">
        <f t="shared" ca="1" si="4"/>
        <v>1.2329654896316984</v>
      </c>
      <c r="G9" s="34">
        <f t="shared" ca="1" si="0"/>
        <v>1.2286809684077855</v>
      </c>
      <c r="H9" s="34">
        <f t="shared" ca="1" si="0"/>
        <v>-0.80423978694379961</v>
      </c>
    </row>
    <row r="10" spans="2:13" x14ac:dyDescent="0.2">
      <c r="B10" s="34">
        <f t="shared" ca="1" si="1"/>
        <v>0.99830112327084097</v>
      </c>
      <c r="C10" s="7">
        <f t="shared" ca="1" si="2"/>
        <v>528</v>
      </c>
      <c r="D10" s="34">
        <f t="shared" ca="1" si="3"/>
        <v>0.65751985036861194</v>
      </c>
      <c r="E10" s="34"/>
      <c r="F10" s="34">
        <f t="shared" ca="1" si="4"/>
        <v>1.5047693866881522</v>
      </c>
      <c r="G10" s="34">
        <f t="shared" ca="1" si="0"/>
        <v>2.0892357322731607</v>
      </c>
      <c r="H10" s="34">
        <f t="shared" ca="1" si="0"/>
        <v>0.39253042887738893</v>
      </c>
    </row>
    <row r="11" spans="2:13" x14ac:dyDescent="0.2">
      <c r="B11" s="34">
        <f t="shared" ca="1" si="1"/>
        <v>0.6365299781175553</v>
      </c>
      <c r="C11" s="7">
        <f t="shared" ca="1" si="2"/>
        <v>487</v>
      </c>
      <c r="D11" s="34">
        <f t="shared" ca="1" si="3"/>
        <v>7.0849306635325321E-2</v>
      </c>
      <c r="E11" s="34"/>
      <c r="F11" s="34">
        <f t="shared" ca="1" si="4"/>
        <v>0.36264294028953215</v>
      </c>
      <c r="G11" s="34">
        <f t="shared" ca="1" si="0"/>
        <v>-0.85099304426687172</v>
      </c>
      <c r="H11" s="34">
        <f t="shared" ca="1" si="0"/>
        <v>-5.1592744070378387E-2</v>
      </c>
    </row>
    <row r="12" spans="2:13" x14ac:dyDescent="0.2">
      <c r="B12" s="34">
        <f t="shared" ca="1" si="1"/>
        <v>0.79405279608360557</v>
      </c>
      <c r="C12" s="7">
        <f t="shared" ca="1" si="2"/>
        <v>491</v>
      </c>
      <c r="D12" s="34">
        <f t="shared" ca="1" si="3"/>
        <v>-2.4587754919263869</v>
      </c>
      <c r="E12" s="34"/>
      <c r="F12" s="34">
        <f t="shared" ca="1" si="4"/>
        <v>0.85994898230134542</v>
      </c>
      <c r="G12" s="34">
        <f t="shared" ca="1" si="0"/>
        <v>-0.56414145631174661</v>
      </c>
      <c r="H12" s="34">
        <f t="shared" ca="1" si="0"/>
        <v>-1.9665772339263006</v>
      </c>
    </row>
    <row r="13" spans="2:13" x14ac:dyDescent="0.2">
      <c r="B13" s="34">
        <f t="shared" ca="1" si="1"/>
        <v>4.0591715278070928E-2</v>
      </c>
      <c r="C13" s="7">
        <f t="shared" ca="1" si="2"/>
        <v>494</v>
      </c>
      <c r="D13" s="34">
        <f t="shared" ca="1" si="3"/>
        <v>0.29144515683862621</v>
      </c>
      <c r="E13" s="34"/>
      <c r="F13" s="34">
        <f t="shared" ca="1" si="4"/>
        <v>-1.5187587677472851</v>
      </c>
      <c r="G13" s="34">
        <f t="shared" ca="1" si="0"/>
        <v>-0.34900276534540281</v>
      </c>
      <c r="H13" s="34">
        <f t="shared" ca="1" si="0"/>
        <v>0.11540341753670663</v>
      </c>
    </row>
    <row r="14" spans="2:13" x14ac:dyDescent="0.2">
      <c r="B14" s="34">
        <f t="shared" ca="1" si="1"/>
        <v>0.6424334466989875</v>
      </c>
      <c r="C14" s="7">
        <f t="shared" ca="1" si="2"/>
        <v>522</v>
      </c>
      <c r="D14" s="34">
        <f t="shared" ca="1" si="3"/>
        <v>0.71953542314317753</v>
      </c>
      <c r="E14" s="34"/>
      <c r="F14" s="34">
        <f t="shared" ca="1" si="4"/>
        <v>0.38128043441438891</v>
      </c>
      <c r="G14" s="34">
        <f t="shared" ca="1" si="0"/>
        <v>1.6589583503404732</v>
      </c>
      <c r="H14" s="34">
        <f t="shared" ca="1" si="0"/>
        <v>0.43947765206256167</v>
      </c>
    </row>
    <row r="15" spans="2:13" x14ac:dyDescent="0.2">
      <c r="B15" s="34">
        <f t="shared" ca="1" si="1"/>
        <v>0.89434445107596261</v>
      </c>
      <c r="C15" s="7">
        <f t="shared" ca="1" si="2"/>
        <v>518</v>
      </c>
      <c r="D15" s="34">
        <f t="shared" ca="1" si="3"/>
        <v>2.2222475013709313</v>
      </c>
      <c r="E15" s="34"/>
      <c r="F15" s="34">
        <f t="shared" ca="1" si="4"/>
        <v>1.1765738791579565</v>
      </c>
      <c r="G15" s="34">
        <f t="shared" ca="1" si="0"/>
        <v>1.372106762385348</v>
      </c>
      <c r="H15" s="34">
        <f t="shared" ca="1" si="0"/>
        <v>1.5770654572427949</v>
      </c>
    </row>
    <row r="16" spans="2:13" x14ac:dyDescent="0.2">
      <c r="B16" s="34">
        <f t="shared" ca="1" si="1"/>
        <v>0.71798561694204932</v>
      </c>
      <c r="C16" s="7">
        <f t="shared" ca="1" si="2"/>
        <v>495</v>
      </c>
      <c r="D16" s="34">
        <f t="shared" ca="1" si="3"/>
        <v>-0.6177998619027224</v>
      </c>
      <c r="E16" s="34"/>
      <c r="F16" s="34">
        <f t="shared" ca="1" si="4"/>
        <v>0.619801756176659</v>
      </c>
      <c r="G16" s="34">
        <f t="shared" ca="1" si="0"/>
        <v>-0.27728986835662151</v>
      </c>
      <c r="H16" s="34">
        <f t="shared" ca="1" si="0"/>
        <v>-0.57291609504810104</v>
      </c>
    </row>
    <row r="17" spans="1:18" x14ac:dyDescent="0.2">
      <c r="B17" s="34">
        <f t="shared" ca="1" si="1"/>
        <v>0.78485152569646588</v>
      </c>
      <c r="C17" s="7">
        <f t="shared" ca="1" si="2"/>
        <v>501</v>
      </c>
      <c r="D17" s="34">
        <f t="shared" ca="1" si="3"/>
        <v>-1.9132841484078693</v>
      </c>
      <c r="E17" s="34"/>
      <c r="F17" s="34">
        <f t="shared" ca="1" si="4"/>
        <v>0.83090019167664275</v>
      </c>
      <c r="G17" s="34">
        <f t="shared" ca="1" si="0"/>
        <v>0.15298751357606619</v>
      </c>
      <c r="H17" s="34">
        <f t="shared" ca="1" si="0"/>
        <v>-1.5536276681319703</v>
      </c>
    </row>
    <row r="18" spans="1:18" x14ac:dyDescent="0.2">
      <c r="B18" s="34">
        <f t="shared" ca="1" si="1"/>
        <v>0.34426599169785244</v>
      </c>
      <c r="C18" s="7">
        <f t="shared" ca="1" si="2"/>
        <v>499</v>
      </c>
      <c r="D18" s="34">
        <f t="shared" ca="1" si="3"/>
        <v>-0.50018469224818185</v>
      </c>
      <c r="E18" s="34"/>
      <c r="F18" s="34">
        <f t="shared" ca="1" si="4"/>
        <v>-0.56004653534124171</v>
      </c>
      <c r="G18" s="34">
        <f t="shared" ref="G18:G31" ca="1" si="5">(C18-C$32)/C$33</f>
        <v>9.5617195985036284E-3</v>
      </c>
      <c r="H18" s="34">
        <f t="shared" ref="H18:H31" ca="1" si="6">(D18-D$32)/D$33</f>
        <v>-0.48387869084954971</v>
      </c>
    </row>
    <row r="19" spans="1:18" x14ac:dyDescent="0.2">
      <c r="B19" s="34">
        <f t="shared" ca="1" si="1"/>
        <v>0.26009686048892589</v>
      </c>
      <c r="C19" s="7">
        <f t="shared" ca="1" si="2"/>
        <v>505</v>
      </c>
      <c r="D19" s="34">
        <f t="shared" ca="1" si="3"/>
        <v>1.3363304807973955</v>
      </c>
      <c r="E19" s="34"/>
      <c r="F19" s="34">
        <f t="shared" ca="1" si="4"/>
        <v>-0.82577195875326803</v>
      </c>
      <c r="G19" s="34">
        <f t="shared" ca="1" si="5"/>
        <v>0.43983910153119132</v>
      </c>
      <c r="H19" s="34">
        <f t="shared" ca="1" si="6"/>
        <v>0.90640577891330798</v>
      </c>
    </row>
    <row r="20" spans="1:18" x14ac:dyDescent="0.2">
      <c r="B20" s="34">
        <f t="shared" ca="1" si="1"/>
        <v>0.23015475954547771</v>
      </c>
      <c r="C20" s="7">
        <f t="shared" ca="1" si="2"/>
        <v>475</v>
      </c>
      <c r="D20" s="34">
        <f t="shared" ca="1" si="3"/>
        <v>-0.94419196064220157</v>
      </c>
      <c r="E20" s="34"/>
      <c r="F20" s="34">
        <f t="shared" ca="1" si="4"/>
        <v>-0.92030040804061897</v>
      </c>
      <c r="G20" s="34">
        <f t="shared" ca="1" si="5"/>
        <v>-1.7115478081322473</v>
      </c>
      <c r="H20" s="34">
        <f t="shared" ca="1" si="6"/>
        <v>-0.82000246416221101</v>
      </c>
      <c r="R20"/>
    </row>
    <row r="21" spans="1:18" x14ac:dyDescent="0.2">
      <c r="B21" s="34">
        <f t="shared" ca="1" si="1"/>
        <v>0.20614439726649247</v>
      </c>
      <c r="C21" s="7">
        <f t="shared" ca="1" si="2"/>
        <v>492</v>
      </c>
      <c r="D21" s="34">
        <f t="shared" ca="1" si="3"/>
        <v>-4.0766293081576838E-2</v>
      </c>
      <c r="E21" s="34"/>
      <c r="F21" s="34">
        <f t="shared" ca="1" si="4"/>
        <v>-0.99610211338343058</v>
      </c>
      <c r="G21" s="34">
        <f t="shared" ca="1" si="5"/>
        <v>-0.49242855932296536</v>
      </c>
      <c r="H21" s="34">
        <f t="shared" ca="1" si="6"/>
        <v>-0.13608833503919071</v>
      </c>
      <c r="M21"/>
    </row>
    <row r="22" spans="1:18" x14ac:dyDescent="0.2">
      <c r="B22" s="34">
        <f t="shared" ca="1" si="1"/>
        <v>0.10221622139364894</v>
      </c>
      <c r="C22" s="7">
        <f t="shared" ca="1" si="2"/>
        <v>512</v>
      </c>
      <c r="D22" s="34">
        <f t="shared" ca="1" si="3"/>
        <v>-1.4606439670885742</v>
      </c>
      <c r="E22" s="34"/>
      <c r="F22" s="34">
        <f t="shared" ca="1" si="4"/>
        <v>-1.3242076568480639</v>
      </c>
      <c r="G22" s="34">
        <f t="shared" ca="1" si="5"/>
        <v>0.94182938045266029</v>
      </c>
      <c r="H22" s="34">
        <f t="shared" ca="1" si="6"/>
        <v>-1.2109685800312902</v>
      </c>
    </row>
    <row r="23" spans="1:18" x14ac:dyDescent="0.2">
      <c r="B23" s="34">
        <f t="shared" ca="1" si="1"/>
        <v>0.84814454421790608</v>
      </c>
      <c r="C23" s="7">
        <f t="shared" ca="1" si="2"/>
        <v>517</v>
      </c>
      <c r="D23" s="34">
        <f t="shared" ca="1" si="3"/>
        <v>1.1461793142004806</v>
      </c>
      <c r="E23" s="34"/>
      <c r="F23" s="34">
        <f t="shared" ca="1" si="4"/>
        <v>1.0307188651507397</v>
      </c>
      <c r="G23" s="34">
        <f t="shared" ca="1" si="5"/>
        <v>1.3003938653965668</v>
      </c>
      <c r="H23" s="34">
        <f t="shared" ca="1" si="6"/>
        <v>0.76245694706751743</v>
      </c>
    </row>
    <row r="24" spans="1:18" x14ac:dyDescent="0.2">
      <c r="B24" s="34">
        <f t="shared" ca="1" si="1"/>
        <v>1.7572364666559315E-2</v>
      </c>
      <c r="C24" s="7">
        <f t="shared" ca="1" si="2"/>
        <v>497</v>
      </c>
      <c r="D24" s="34">
        <f t="shared" ca="1" si="3"/>
        <v>0.37186161064781631</v>
      </c>
      <c r="E24" s="34"/>
      <c r="F24" s="34">
        <f t="shared" ca="1" si="4"/>
        <v>-1.5914318083270969</v>
      </c>
      <c r="G24" s="34">
        <f t="shared" ca="1" si="5"/>
        <v>-0.13386407437905895</v>
      </c>
      <c r="H24" s="34">
        <f t="shared" ca="1" si="6"/>
        <v>0.17628053332928309</v>
      </c>
    </row>
    <row r="25" spans="1:18" x14ac:dyDescent="0.2">
      <c r="B25" s="34">
        <f t="shared" ca="1" si="1"/>
        <v>0.69862077995194527</v>
      </c>
      <c r="C25" s="7">
        <f t="shared" ca="1" si="2"/>
        <v>485</v>
      </c>
      <c r="D25" s="34">
        <f t="shared" ca="1" si="3"/>
        <v>0.59596005349003212</v>
      </c>
      <c r="E25" s="34"/>
      <c r="F25" s="34">
        <f t="shared" ca="1" si="4"/>
        <v>0.55866616603105768</v>
      </c>
      <c r="G25" s="34">
        <f t="shared" ca="1" si="5"/>
        <v>-0.99441883824443433</v>
      </c>
      <c r="H25" s="34">
        <f t="shared" ca="1" si="6"/>
        <v>0.3459282385888573</v>
      </c>
    </row>
    <row r="26" spans="1:18" x14ac:dyDescent="0.2">
      <c r="B26" s="34">
        <f t="shared" ca="1" si="1"/>
        <v>0.52531519895938339</v>
      </c>
      <c r="C26" s="7">
        <f t="shared" ca="1" si="2"/>
        <v>509</v>
      </c>
      <c r="D26" s="34">
        <f t="shared" ca="1" si="3"/>
        <v>1.2114296517409402E-2</v>
      </c>
      <c r="E26" s="34"/>
      <c r="F26" s="34">
        <f t="shared" ca="1" si="4"/>
        <v>1.1533289316373119E-2</v>
      </c>
      <c r="G26" s="34">
        <f t="shared" ca="1" si="5"/>
        <v>0.72669068948631643</v>
      </c>
      <c r="H26" s="34">
        <f t="shared" ca="1" si="6"/>
        <v>-9.6056505435815412E-2</v>
      </c>
    </row>
    <row r="27" spans="1:18" x14ac:dyDescent="0.2">
      <c r="B27" s="34">
        <f t="shared" ca="1" si="1"/>
        <v>0.84138479608669969</v>
      </c>
      <c r="C27" s="7">
        <f t="shared" ca="1" si="2"/>
        <v>514</v>
      </c>
      <c r="D27" s="34">
        <f t="shared" ca="1" si="3"/>
        <v>-1.8078889887684546</v>
      </c>
      <c r="E27" s="34"/>
      <c r="F27" s="34">
        <f t="shared" ca="1" si="4"/>
        <v>1.0093780611228971</v>
      </c>
      <c r="G27" s="34">
        <f t="shared" ca="1" si="5"/>
        <v>1.0852551744302228</v>
      </c>
      <c r="H27" s="34">
        <f t="shared" ca="1" si="6"/>
        <v>-1.4738410941981108</v>
      </c>
    </row>
    <row r="28" spans="1:18" x14ac:dyDescent="0.2">
      <c r="B28" s="34">
        <f t="shared" ca="1" si="1"/>
        <v>0.42240345358010289</v>
      </c>
      <c r="C28" s="7">
        <f t="shared" ca="1" si="2"/>
        <v>495</v>
      </c>
      <c r="D28" s="34">
        <f t="shared" ca="1" si="3"/>
        <v>3.5278704967835184</v>
      </c>
      <c r="E28" s="34"/>
      <c r="F28" s="34">
        <f t="shared" ca="1" si="4"/>
        <v>-0.31336334110149844</v>
      </c>
      <c r="G28" s="34">
        <f t="shared" ca="1" si="5"/>
        <v>-0.27728986835662151</v>
      </c>
      <c r="H28" s="34">
        <f t="shared" ca="1" si="6"/>
        <v>2.5654522675064824</v>
      </c>
    </row>
    <row r="29" spans="1:18" x14ac:dyDescent="0.2">
      <c r="B29" s="34">
        <f t="shared" ca="1" si="1"/>
        <v>0.69507327315884548</v>
      </c>
      <c r="C29" s="7">
        <f t="shared" ca="1" si="2"/>
        <v>507</v>
      </c>
      <c r="D29" s="34">
        <f t="shared" ca="1" si="3"/>
        <v>8.5426115967300764E-2</v>
      </c>
      <c r="E29" s="34"/>
      <c r="F29" s="34">
        <f t="shared" ca="1" si="4"/>
        <v>0.54746654057319744</v>
      </c>
      <c r="G29" s="34">
        <f t="shared" ca="1" si="5"/>
        <v>0.58326489550875393</v>
      </c>
      <c r="H29" s="34">
        <f t="shared" ca="1" si="6"/>
        <v>-4.0557762203426613E-2</v>
      </c>
    </row>
    <row r="30" spans="1:18" x14ac:dyDescent="0.2">
      <c r="B30" s="34">
        <f t="shared" ca="1" si="1"/>
        <v>0.13572091990211788</v>
      </c>
      <c r="C30" s="7">
        <f t="shared" ca="1" si="2"/>
        <v>476</v>
      </c>
      <c r="D30" s="34">
        <f t="shared" ca="1" si="3"/>
        <v>0.66511069572173076</v>
      </c>
      <c r="E30" s="34"/>
      <c r="F30" s="34">
        <f t="shared" ca="1" si="4"/>
        <v>-1.2184319399126493</v>
      </c>
      <c r="G30" s="34">
        <f t="shared" ca="1" si="5"/>
        <v>-1.6398349111434658</v>
      </c>
      <c r="H30" s="34">
        <f t="shared" ca="1" si="6"/>
        <v>0.39827687440732779</v>
      </c>
    </row>
    <row r="31" spans="1:18" x14ac:dyDescent="0.2">
      <c r="B31" s="34">
        <f t="shared" ca="1" si="1"/>
        <v>5.2867848107140958E-3</v>
      </c>
      <c r="C31" s="7">
        <f t="shared" ca="1" si="2"/>
        <v>498</v>
      </c>
      <c r="D31" s="34">
        <f t="shared" ca="1" si="3"/>
        <v>-0.90140986488854336</v>
      </c>
      <c r="E31" s="34"/>
      <c r="F31" s="34">
        <f t="shared" ca="1" si="4"/>
        <v>-1.6302178913264957</v>
      </c>
      <c r="G31" s="34">
        <f t="shared" ca="1" si="5"/>
        <v>-6.2151177390277659E-2</v>
      </c>
      <c r="H31" s="34">
        <f t="shared" ca="1" si="6"/>
        <v>-0.78761542800634776</v>
      </c>
    </row>
    <row r="32" spans="1:18" x14ac:dyDescent="0.2">
      <c r="A32" s="33" t="s">
        <v>49</v>
      </c>
      <c r="B32" s="12">
        <f ca="1">AVERAGE(B2:B31)</f>
        <v>0.52166200338149882</v>
      </c>
      <c r="C32" s="12">
        <f t="shared" ref="C32:F32" ca="1" si="7">AVERAGE(C2:C31)</f>
        <v>498.86666666666667</v>
      </c>
      <c r="D32" s="12">
        <f t="shared" ca="1" si="7"/>
        <v>0.13900144338505749</v>
      </c>
      <c r="E32" s="34"/>
      <c r="F32" s="12">
        <f t="shared" ca="1" si="7"/>
        <v>0</v>
      </c>
      <c r="G32" s="12">
        <f t="shared" ref="G32" ca="1" si="8">AVERAGE(G2:G31)</f>
        <v>-5.4077113157783669E-16</v>
      </c>
      <c r="H32" s="12">
        <f t="shared" ref="H32" ca="1" si="9">AVERAGE(H2:H31)</f>
        <v>-7.0314124892926578E-17</v>
      </c>
    </row>
    <row r="33" spans="1:8" x14ac:dyDescent="0.2">
      <c r="A33" s="33" t="s">
        <v>50</v>
      </c>
      <c r="B33" s="12">
        <f ca="1">_xlfn.STDEV.P(B2:B31)</f>
        <v>0.31675227055115568</v>
      </c>
      <c r="C33" s="12">
        <f t="shared" ref="C33:F33" ca="1" si="10">_xlfn.STDEV.P(C2:C31)</f>
        <v>13.944493138471861</v>
      </c>
      <c r="D33" s="12">
        <f t="shared" ca="1" si="10"/>
        <v>1.3209635962910768</v>
      </c>
      <c r="E33" s="34"/>
      <c r="F33" s="12">
        <f t="shared" ca="1" si="10"/>
        <v>1</v>
      </c>
      <c r="G33" s="12">
        <f t="shared" ref="G33:H33" ca="1" si="11">_xlfn.STDEV.P(G2:G31)</f>
        <v>1.0000000000000004</v>
      </c>
      <c r="H33" s="12">
        <f t="shared" ca="1" si="11"/>
        <v>1</v>
      </c>
    </row>
    <row r="34" spans="1:8" x14ac:dyDescent="0.2">
      <c r="E34" s="34"/>
    </row>
    <row r="35" spans="1:8" x14ac:dyDescent="0.2">
      <c r="E35" s="34"/>
    </row>
    <row r="36" spans="1:8" x14ac:dyDescent="0.2">
      <c r="E36" s="34"/>
    </row>
    <row r="37" spans="1:8" x14ac:dyDescent="0.2">
      <c r="E37" s="34"/>
    </row>
    <row r="38" spans="1:8" x14ac:dyDescent="0.2">
      <c r="E38" s="34"/>
    </row>
    <row r="39" spans="1:8" x14ac:dyDescent="0.2">
      <c r="E39" s="34"/>
    </row>
    <row r="40" spans="1:8" x14ac:dyDescent="0.2">
      <c r="E40" s="34"/>
    </row>
    <row r="41" spans="1:8" x14ac:dyDescent="0.2">
      <c r="E41" s="34"/>
    </row>
  </sheetData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18"/>
  <sheetViews>
    <sheetView showGridLines="0" workbookViewId="0">
      <selection activeCell="D10" sqref="D10"/>
    </sheetView>
  </sheetViews>
  <sheetFormatPr defaultColWidth="12.7109375" defaultRowHeight="15.75" customHeight="1" x14ac:dyDescent="0.2"/>
  <cols>
    <col min="1" max="1" width="12.7109375" style="36"/>
    <col min="2" max="2" width="14.7109375" style="36" bestFit="1" customWidth="1"/>
    <col min="3" max="3" width="12.7109375" style="36"/>
    <col min="4" max="4" width="15.140625" style="36" customWidth="1"/>
    <col min="5" max="16384" width="12.7109375" style="36"/>
  </cols>
  <sheetData>
    <row r="1" spans="2:5" ht="15.75" customHeight="1" x14ac:dyDescent="0.2">
      <c r="B1" s="3" t="s">
        <v>39</v>
      </c>
      <c r="C1" s="3" t="s">
        <v>17</v>
      </c>
    </row>
    <row r="2" spans="2:5" ht="15.75" customHeight="1" x14ac:dyDescent="0.2">
      <c r="B2" s="1">
        <v>100</v>
      </c>
      <c r="C2" s="1">
        <v>50.1</v>
      </c>
      <c r="D2" s="1" t="s">
        <v>18</v>
      </c>
      <c r="E2" s="37">
        <f ca="1">_xlfn.COVARIANCE.P(B2:B17,C2:C17)</f>
        <v>24822.96875</v>
      </c>
    </row>
    <row r="3" spans="2:5" ht="15.75" customHeight="1" x14ac:dyDescent="0.2">
      <c r="B3" s="1">
        <f t="shared" ref="B3:B17" ca="1" si="0">B2+10+RANDBETWEEN(140, 300)</f>
        <v>376</v>
      </c>
      <c r="C3" s="1">
        <f t="shared" ref="C3:C6" si="1">C2+5</f>
        <v>55.1</v>
      </c>
      <c r="D3" s="1" t="s">
        <v>19</v>
      </c>
      <c r="E3" s="37">
        <f ca="1">CORREL(B2:B18,C2:C18)</f>
        <v>0.98157898581004288</v>
      </c>
    </row>
    <row r="4" spans="2:5" ht="15.75" customHeight="1" x14ac:dyDescent="0.2">
      <c r="B4" s="1">
        <f t="shared" ca="1" si="0"/>
        <v>546</v>
      </c>
      <c r="C4" s="1">
        <f t="shared" si="1"/>
        <v>60.1</v>
      </c>
    </row>
    <row r="5" spans="2:5" ht="15.75" customHeight="1" x14ac:dyDescent="0.2">
      <c r="B5" s="1">
        <f t="shared" ca="1" si="0"/>
        <v>785</v>
      </c>
      <c r="C5" s="1">
        <f t="shared" si="1"/>
        <v>65.099999999999994</v>
      </c>
    </row>
    <row r="6" spans="2:5" ht="15.75" customHeight="1" x14ac:dyDescent="0.2">
      <c r="B6" s="1">
        <f t="shared" ca="1" si="0"/>
        <v>988</v>
      </c>
      <c r="C6" s="1">
        <f t="shared" si="1"/>
        <v>70.099999999999994</v>
      </c>
    </row>
    <row r="7" spans="2:5" ht="15.75" customHeight="1" x14ac:dyDescent="0.2">
      <c r="B7" s="1">
        <f t="shared" ca="1" si="0"/>
        <v>1171</v>
      </c>
      <c r="C7" s="1">
        <v>75.099999999999994</v>
      </c>
    </row>
    <row r="8" spans="2:5" ht="15.75" customHeight="1" x14ac:dyDescent="0.2">
      <c r="B8" s="1">
        <f t="shared" ca="1" si="0"/>
        <v>1438</v>
      </c>
      <c r="C8" s="1">
        <v>80.099999999999994</v>
      </c>
    </row>
    <row r="9" spans="2:5" ht="15.75" customHeight="1" x14ac:dyDescent="0.2">
      <c r="B9" s="1">
        <f t="shared" ca="1" si="0"/>
        <v>1665</v>
      </c>
      <c r="C9" s="1">
        <v>85.1</v>
      </c>
    </row>
    <row r="10" spans="2:5" ht="15.75" customHeight="1" x14ac:dyDescent="0.2">
      <c r="B10" s="1">
        <f t="shared" ca="1" si="0"/>
        <v>1972</v>
      </c>
      <c r="C10" s="1">
        <v>90.1</v>
      </c>
    </row>
    <row r="11" spans="2:5" ht="15.75" customHeight="1" x14ac:dyDescent="0.2">
      <c r="B11" s="1">
        <f t="shared" ca="1" si="0"/>
        <v>2253</v>
      </c>
      <c r="C11" s="1">
        <v>95.1</v>
      </c>
    </row>
    <row r="12" spans="2:5" ht="15.75" customHeight="1" x14ac:dyDescent="0.2">
      <c r="B12" s="1">
        <f t="shared" ca="1" si="0"/>
        <v>2408</v>
      </c>
      <c r="C12" s="1">
        <v>100.1</v>
      </c>
    </row>
    <row r="13" spans="2:5" ht="15.75" customHeight="1" x14ac:dyDescent="0.2">
      <c r="B13" s="1">
        <f t="shared" ca="1" si="0"/>
        <v>2637</v>
      </c>
      <c r="C13" s="1">
        <v>105.1</v>
      </c>
    </row>
    <row r="14" spans="2:5" ht="15.75" customHeight="1" x14ac:dyDescent="0.2">
      <c r="B14" s="1">
        <f t="shared" ca="1" si="0"/>
        <v>2889</v>
      </c>
      <c r="C14" s="1">
        <v>110.1</v>
      </c>
    </row>
    <row r="15" spans="2:5" ht="15.75" customHeight="1" x14ac:dyDescent="0.2">
      <c r="B15" s="1">
        <f t="shared" ca="1" si="0"/>
        <v>3157</v>
      </c>
      <c r="C15" s="1">
        <v>115.1</v>
      </c>
    </row>
    <row r="16" spans="2:5" ht="15.75" customHeight="1" x14ac:dyDescent="0.2">
      <c r="B16" s="1">
        <f t="shared" ca="1" si="0"/>
        <v>3341</v>
      </c>
      <c r="C16" s="1">
        <v>120.1</v>
      </c>
    </row>
    <row r="17" spans="2:3" ht="15.75" customHeight="1" x14ac:dyDescent="0.2">
      <c r="B17" s="1">
        <f t="shared" ca="1" si="0"/>
        <v>3579</v>
      </c>
      <c r="C17" s="1">
        <v>125.1</v>
      </c>
    </row>
    <row r="18" spans="2:3" ht="15.75" customHeight="1" x14ac:dyDescent="0.2">
      <c r="B18" s="9">
        <f t="shared" ref="B18:C18" ca="1" si="2">VAR(B2:B17)</f>
        <v>1238716.6625000001</v>
      </c>
      <c r="C18" s="9">
        <f t="shared" si="2"/>
        <v>566.66666666666572</v>
      </c>
    </row>
  </sheetData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3"/>
  <sheetViews>
    <sheetView showGridLines="0" workbookViewId="0">
      <selection activeCell="F13" sqref="F13"/>
    </sheetView>
  </sheetViews>
  <sheetFormatPr defaultColWidth="12.7109375" defaultRowHeight="21.75" customHeight="1" x14ac:dyDescent="0.2"/>
  <cols>
    <col min="1" max="2" width="15" style="33" customWidth="1"/>
    <col min="3" max="4" width="8.42578125" style="33" customWidth="1"/>
    <col min="5" max="5" width="12" style="33" customWidth="1"/>
    <col min="6" max="6" width="16.140625" style="33" customWidth="1"/>
    <col min="7" max="7" width="8.85546875" style="33" bestFit="1" customWidth="1"/>
    <col min="8" max="16384" width="12.7109375" style="33"/>
  </cols>
  <sheetData>
    <row r="1" spans="1:12" ht="21.75" customHeight="1" x14ac:dyDescent="0.2">
      <c r="A1" s="43" t="s">
        <v>20</v>
      </c>
      <c r="B1" s="46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1.75" customHeight="1" x14ac:dyDescent="0.2">
      <c r="A2" s="1"/>
      <c r="B2" s="1"/>
      <c r="C2" s="1"/>
      <c r="D2" s="1"/>
      <c r="E2" s="44" t="s">
        <v>21</v>
      </c>
      <c r="F2" s="1"/>
      <c r="G2" s="1"/>
      <c r="H2" s="1"/>
      <c r="I2" s="1"/>
      <c r="J2" s="1"/>
      <c r="K2" s="1"/>
      <c r="L2" s="1"/>
    </row>
    <row r="3" spans="1:12" ht="21.75" customHeight="1" x14ac:dyDescent="0.2">
      <c r="A3" s="4" t="s">
        <v>60</v>
      </c>
      <c r="B3" s="4" t="s">
        <v>59</v>
      </c>
      <c r="C3" s="45" t="s">
        <v>54</v>
      </c>
      <c r="D3" s="45" t="s">
        <v>55</v>
      </c>
      <c r="E3" s="45" t="s">
        <v>56</v>
      </c>
      <c r="F3" s="45" t="s">
        <v>61</v>
      </c>
      <c r="G3" s="45" t="s">
        <v>57</v>
      </c>
      <c r="H3" s="1"/>
      <c r="I3" s="1"/>
    </row>
    <row r="4" spans="1:12" ht="21.75" customHeight="1" x14ac:dyDescent="0.2">
      <c r="A4" s="47">
        <v>1.7995732944241527</v>
      </c>
      <c r="B4" s="47">
        <v>11.952272050864597</v>
      </c>
      <c r="C4" s="47">
        <v>5.3935000000000004</v>
      </c>
      <c r="D4" s="47">
        <v>2.9782000000000002</v>
      </c>
      <c r="E4" s="47">
        <f>C4+A4*D4</f>
        <v>10.752989185454012</v>
      </c>
      <c r="F4" s="48">
        <f>E4-B4</f>
        <v>-1.1992828654105843</v>
      </c>
      <c r="G4" s="48">
        <f>F4^2</f>
        <v>1.4382793912674217</v>
      </c>
      <c r="H4" s="1"/>
      <c r="I4" s="1"/>
      <c r="J4" s="1"/>
      <c r="K4" s="1"/>
    </row>
    <row r="5" spans="1:12" ht="21.75" customHeight="1" x14ac:dyDescent="0.2">
      <c r="A5" s="47">
        <v>8.0695138830155599</v>
      </c>
      <c r="B5" s="47">
        <v>31.59923702815842</v>
      </c>
      <c r="C5" s="47">
        <v>5.3935000000000004</v>
      </c>
      <c r="D5" s="47">
        <v>2.9782000000000002</v>
      </c>
      <c r="E5" s="47">
        <f>C5+A5*D5</f>
        <v>29.42612624639694</v>
      </c>
      <c r="F5" s="48">
        <f>E5-B5</f>
        <v>-2.1731107817614799</v>
      </c>
      <c r="G5" s="48">
        <f t="shared" ref="G5:G19" si="0">F5^2</f>
        <v>4.7224104698079898</v>
      </c>
      <c r="H5" s="1"/>
      <c r="I5" s="1"/>
      <c r="J5" s="1"/>
      <c r="K5" s="1"/>
    </row>
    <row r="6" spans="1:12" ht="21.75" customHeight="1" x14ac:dyDescent="0.2">
      <c r="A6" s="47">
        <v>7.1500546287862132</v>
      </c>
      <c r="B6" s="47">
        <v>28.230451578897533</v>
      </c>
      <c r="C6" s="47">
        <v>5.3935000000000004</v>
      </c>
      <c r="D6" s="47">
        <v>2.9782000000000002</v>
      </c>
      <c r="E6" s="47">
        <f>C6+A6*D6</f>
        <v>26.687792695451101</v>
      </c>
      <c r="F6" s="48">
        <f>E6-B6</f>
        <v>-1.5426588834464319</v>
      </c>
      <c r="G6" s="48">
        <f t="shared" si="0"/>
        <v>2.3797964306761918</v>
      </c>
      <c r="H6" s="1"/>
      <c r="I6" s="1"/>
      <c r="J6" s="1"/>
      <c r="K6" s="1"/>
    </row>
    <row r="7" spans="1:12" ht="21.75" customHeight="1" x14ac:dyDescent="0.2">
      <c r="A7" s="47">
        <v>2.0065423802115423</v>
      </c>
      <c r="B7" s="47">
        <v>7.6480679081149399</v>
      </c>
      <c r="C7" s="47">
        <v>5.3935000000000004</v>
      </c>
      <c r="D7" s="47">
        <v>2.9782000000000002</v>
      </c>
      <c r="E7" s="47">
        <f>C7+A7*D7</f>
        <v>11.369384516746017</v>
      </c>
      <c r="F7" s="48">
        <f>E7-B7</f>
        <v>3.7213166086310769</v>
      </c>
      <c r="G7" s="48">
        <f t="shared" si="0"/>
        <v>13.848197301673499</v>
      </c>
      <c r="H7" s="1"/>
      <c r="I7" s="1"/>
      <c r="J7" s="1"/>
      <c r="K7" s="1"/>
    </row>
    <row r="8" spans="1:12" ht="21.75" customHeight="1" x14ac:dyDescent="0.2">
      <c r="A8" s="47">
        <v>4.4665627247197399</v>
      </c>
      <c r="B8" s="47">
        <v>19.255294156130145</v>
      </c>
      <c r="C8" s="47">
        <v>5.3935000000000004</v>
      </c>
      <c r="D8" s="47">
        <v>2.9782000000000002</v>
      </c>
      <c r="E8" s="47">
        <f>C8+A8*D8</f>
        <v>18.69581710676033</v>
      </c>
      <c r="F8" s="48">
        <f>E8-B8</f>
        <v>-0.55947704936981424</v>
      </c>
      <c r="G8" s="48">
        <f t="shared" si="0"/>
        <v>0.31301456877155354</v>
      </c>
      <c r="H8" s="1"/>
      <c r="I8" s="1"/>
      <c r="J8" s="1"/>
      <c r="K8" s="1"/>
    </row>
    <row r="9" spans="1:12" ht="21.75" customHeight="1" x14ac:dyDescent="0.2">
      <c r="A9" s="47">
        <v>4.0502413813130822</v>
      </c>
      <c r="B9" s="47">
        <v>19.726529571174936</v>
      </c>
      <c r="C9" s="47">
        <v>5.3935000000000004</v>
      </c>
      <c r="D9" s="47">
        <v>2.9782000000000002</v>
      </c>
      <c r="E9" s="47">
        <f>C9+A9*D9</f>
        <v>17.455928881826623</v>
      </c>
      <c r="F9" s="48">
        <f>E9-B9</f>
        <v>-2.2706006893483135</v>
      </c>
      <c r="G9" s="48">
        <f t="shared" si="0"/>
        <v>5.155627490469036</v>
      </c>
      <c r="H9" s="1"/>
      <c r="I9" s="1"/>
      <c r="J9" s="1"/>
      <c r="K9" s="1"/>
    </row>
    <row r="10" spans="1:12" ht="21.75" customHeight="1" x14ac:dyDescent="0.2">
      <c r="A10" s="47">
        <v>8.2880909584538909</v>
      </c>
      <c r="B10" s="47">
        <v>30.317590170985607</v>
      </c>
      <c r="C10" s="47">
        <v>5.3935000000000004</v>
      </c>
      <c r="D10" s="47">
        <v>2.9782000000000002</v>
      </c>
      <c r="E10" s="47">
        <f>C10+A10*D10</f>
        <v>30.077092492467379</v>
      </c>
      <c r="F10" s="48">
        <f>E10-B10</f>
        <v>-0.24049767851822779</v>
      </c>
      <c r="G10" s="48">
        <f t="shared" si="0"/>
        <v>5.7839133372656844E-2</v>
      </c>
      <c r="H10" s="1"/>
      <c r="I10" s="1"/>
      <c r="J10" s="1"/>
      <c r="K10" s="1"/>
    </row>
    <row r="11" spans="1:12" ht="21.75" customHeight="1" x14ac:dyDescent="0.2">
      <c r="A11" s="47">
        <v>9.7906691342327559</v>
      </c>
      <c r="B11" s="47">
        <v>34.452290080515759</v>
      </c>
      <c r="C11" s="47">
        <v>5.3935000000000004</v>
      </c>
      <c r="D11" s="47">
        <v>2.9782000000000002</v>
      </c>
      <c r="E11" s="47">
        <f>C11+A11*D11</f>
        <v>34.552070815571994</v>
      </c>
      <c r="F11" s="48">
        <f>E11-B11</f>
        <v>9.9780735056235415E-2</v>
      </c>
      <c r="G11" s="48">
        <f t="shared" si="0"/>
        <v>9.9561950883626463E-3</v>
      </c>
      <c r="H11" s="1"/>
      <c r="I11" s="1"/>
      <c r="J11" s="1"/>
      <c r="K11" s="1"/>
    </row>
    <row r="12" spans="1:12" ht="21.75" customHeight="1" x14ac:dyDescent="0.2">
      <c r="A12" s="47">
        <v>2.3096546944425356</v>
      </c>
      <c r="B12" s="47">
        <v>9.9413978447715792</v>
      </c>
      <c r="C12" s="47">
        <v>5.3935000000000004</v>
      </c>
      <c r="D12" s="47">
        <v>2.9782000000000002</v>
      </c>
      <c r="E12" s="47">
        <f>C12+A12*D12</f>
        <v>12.272113610988761</v>
      </c>
      <c r="F12" s="48">
        <f>E12-B12</f>
        <v>2.3307157662171818</v>
      </c>
      <c r="G12" s="48">
        <f t="shared" si="0"/>
        <v>5.4322359828933449</v>
      </c>
      <c r="H12" s="1"/>
      <c r="I12" s="1"/>
      <c r="J12" s="1"/>
      <c r="K12" s="1"/>
    </row>
    <row r="13" spans="1:12" ht="21.75" customHeight="1" x14ac:dyDescent="0.2">
      <c r="A13" s="47">
        <v>8.4008673824439768</v>
      </c>
      <c r="B13" s="47">
        <v>28.139653514780683</v>
      </c>
      <c r="C13" s="47">
        <v>5.3935000000000004</v>
      </c>
      <c r="D13" s="47">
        <v>2.9782000000000002</v>
      </c>
      <c r="E13" s="47">
        <f>C13+A13*D13</f>
        <v>30.412963238394653</v>
      </c>
      <c r="F13" s="48">
        <f>E13-B13</f>
        <v>2.2733097236139699</v>
      </c>
      <c r="G13" s="48">
        <f t="shared" si="0"/>
        <v>5.1679370994778244</v>
      </c>
      <c r="H13" s="1"/>
      <c r="I13" s="1"/>
      <c r="J13" s="1"/>
      <c r="K13" s="1"/>
    </row>
    <row r="14" spans="1:12" ht="21.75" customHeight="1" x14ac:dyDescent="0.2">
      <c r="A14" s="47">
        <v>8.043377354233602</v>
      </c>
      <c r="B14" s="47">
        <v>31.30213988059311</v>
      </c>
      <c r="C14" s="47">
        <v>5.3935000000000004</v>
      </c>
      <c r="D14" s="47">
        <v>2.9782000000000002</v>
      </c>
      <c r="E14" s="47">
        <f>C14+A14*D14</f>
        <v>29.348286436378515</v>
      </c>
      <c r="F14" s="48">
        <f>E14-B14</f>
        <v>-1.9538534442145945</v>
      </c>
      <c r="G14" s="48">
        <f t="shared" si="0"/>
        <v>3.8175432814692334</v>
      </c>
      <c r="H14" s="1"/>
      <c r="I14" s="1"/>
      <c r="J14" s="1"/>
      <c r="K14" s="1"/>
    </row>
    <row r="15" spans="1:12" ht="21.75" customHeight="1" x14ac:dyDescent="0.2">
      <c r="A15" s="47">
        <v>4.3941571462151678</v>
      </c>
      <c r="B15" s="47">
        <v>16.65009814452166</v>
      </c>
      <c r="C15" s="47">
        <v>5.3935000000000004</v>
      </c>
      <c r="D15" s="47">
        <v>2.9782000000000002</v>
      </c>
      <c r="E15" s="47">
        <f>C15+A15*D15</f>
        <v>18.480178812858014</v>
      </c>
      <c r="F15" s="48">
        <f>E15-B15</f>
        <v>1.830080668336354</v>
      </c>
      <c r="G15" s="48">
        <f t="shared" si="0"/>
        <v>3.3491952526184359</v>
      </c>
      <c r="H15" s="1"/>
      <c r="I15" s="1"/>
      <c r="J15" s="1"/>
      <c r="K15" s="1"/>
    </row>
    <row r="16" spans="1:12" ht="21.75" customHeight="1" x14ac:dyDescent="0.2">
      <c r="A16" s="47">
        <v>1.0745370095272824</v>
      </c>
      <c r="B16" s="47">
        <v>10.251196425177936</v>
      </c>
      <c r="C16" s="47">
        <v>5.3935000000000004</v>
      </c>
      <c r="D16" s="47">
        <v>2.9782000000000002</v>
      </c>
      <c r="E16" s="47">
        <f>C16+A16*D16</f>
        <v>8.5936861217741534</v>
      </c>
      <c r="F16" s="48">
        <f>E16-B16</f>
        <v>-1.6575103034037824</v>
      </c>
      <c r="G16" s="48">
        <f t="shared" si="0"/>
        <v>2.7473404058896986</v>
      </c>
      <c r="H16" s="1"/>
      <c r="I16" s="1"/>
      <c r="J16" s="1"/>
      <c r="K16" s="1"/>
    </row>
    <row r="17" spans="1:12" ht="21.75" customHeight="1" x14ac:dyDescent="0.2">
      <c r="A17" s="47">
        <v>3.0241230711247247</v>
      </c>
      <c r="B17" s="47">
        <v>17.61889169195619</v>
      </c>
      <c r="C17" s="47">
        <v>5.3935000000000004</v>
      </c>
      <c r="D17" s="47">
        <v>2.9782000000000002</v>
      </c>
      <c r="E17" s="47">
        <f>C17+A17*D17</f>
        <v>14.399943330423657</v>
      </c>
      <c r="F17" s="48">
        <f>E17-B17</f>
        <v>-3.2189483615325329</v>
      </c>
      <c r="G17" s="48">
        <f t="shared" si="0"/>
        <v>10.361628554212979</v>
      </c>
      <c r="H17" s="1"/>
      <c r="I17" s="1"/>
      <c r="J17" s="1"/>
      <c r="K17" s="1"/>
    </row>
    <row r="18" spans="1:12" ht="21.75" customHeight="1" x14ac:dyDescent="0.2">
      <c r="A18" s="47">
        <v>7.1211314363575244</v>
      </c>
      <c r="B18" s="47">
        <v>26.003084557637472</v>
      </c>
      <c r="C18" s="47">
        <v>5.3935000000000004</v>
      </c>
      <c r="D18" s="47">
        <v>2.9782000000000002</v>
      </c>
      <c r="E18" s="47">
        <f>C18+A18*D18</f>
        <v>26.601653643759981</v>
      </c>
      <c r="F18" s="48">
        <f>E18-B18</f>
        <v>0.59856908612250947</v>
      </c>
      <c r="G18" s="48">
        <f t="shared" si="0"/>
        <v>0.35828495086153617</v>
      </c>
      <c r="H18" s="1"/>
      <c r="I18" s="1"/>
      <c r="J18" s="1"/>
      <c r="K18" s="1"/>
    </row>
    <row r="19" spans="1:12" ht="21.75" customHeight="1" x14ac:dyDescent="0.2">
      <c r="A19" s="47">
        <v>6.6669587500430598</v>
      </c>
      <c r="B19" s="47">
        <v>21.283361248764255</v>
      </c>
      <c r="C19" s="47">
        <v>5.3935000000000004</v>
      </c>
      <c r="D19" s="47">
        <v>2.9782000000000002</v>
      </c>
      <c r="E19" s="47">
        <f>C19+A19*D19</f>
        <v>25.249036549378243</v>
      </c>
      <c r="F19" s="48">
        <f>E19-B19</f>
        <v>3.965675300613988</v>
      </c>
      <c r="G19" s="48">
        <f t="shared" si="0"/>
        <v>15.726580589899845</v>
      </c>
      <c r="H19" s="1"/>
      <c r="I19" s="1"/>
      <c r="J19" s="1"/>
      <c r="K19" s="1"/>
    </row>
    <row r="20" spans="1:12" ht="21.75" customHeight="1" x14ac:dyDescent="0.2">
      <c r="A20" s="1"/>
      <c r="B20" s="1"/>
      <c r="C20" s="1"/>
      <c r="D20" s="1"/>
      <c r="E20" s="44" t="s">
        <v>22</v>
      </c>
      <c r="F20" s="1" t="s">
        <v>58</v>
      </c>
      <c r="G20" s="48">
        <f>AVERAGE(G4:G19)</f>
        <v>4.6803666936531005</v>
      </c>
      <c r="H20" s="1"/>
      <c r="I20" s="1"/>
      <c r="J20" s="1"/>
      <c r="K20" s="1"/>
      <c r="L20" s="1"/>
    </row>
    <row r="21" spans="1:12" ht="21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1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1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mergeCells count="1">
    <mergeCell ref="A1:B1"/>
  </mergeCells>
  <phoneticPr fontId="8" type="noConversion"/>
  <hyperlinks>
    <hyperlink ref="E2" r:id="rId1" xr:uid="{00000000-0004-0000-0200-000000000000}"/>
    <hyperlink ref="E20" r:id="rId2" xr:uid="{00000000-0004-0000-0200-000001000000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6"/>
  <sheetViews>
    <sheetView workbookViewId="0"/>
  </sheetViews>
  <sheetFormatPr defaultColWidth="12.7109375" defaultRowHeight="15.75" customHeight="1" x14ac:dyDescent="0.2"/>
  <sheetData>
    <row r="1" spans="1:10" x14ac:dyDescent="0.2">
      <c r="A1" s="5" t="s">
        <v>23</v>
      </c>
      <c r="D1" s="5" t="s">
        <v>24</v>
      </c>
      <c r="J1" s="2">
        <v>1</v>
      </c>
    </row>
    <row r="2" spans="1:10" x14ac:dyDescent="0.2">
      <c r="A2" s="2" t="e">
        <f>MIN('linear regression'!#REF!)</f>
        <v>#REF!</v>
      </c>
      <c r="B2" s="2" t="e">
        <f>MAX(#REF!)</f>
        <v>#REF!</v>
      </c>
    </row>
    <row r="3" spans="1:10" x14ac:dyDescent="0.2">
      <c r="A3" s="2" t="s">
        <v>38</v>
      </c>
      <c r="B3" s="2" t="e">
        <f>#REF!</f>
        <v>#REF!</v>
      </c>
    </row>
    <row r="4" spans="1:10" x14ac:dyDescent="0.2">
      <c r="A4" s="5" t="s">
        <v>25</v>
      </c>
      <c r="B4" s="5" t="s">
        <v>25</v>
      </c>
    </row>
    <row r="6" spans="1:10" x14ac:dyDescent="0.2">
      <c r="A6" s="5" t="s">
        <v>26</v>
      </c>
      <c r="B6" s="5" t="s">
        <v>26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workbookViewId="0"/>
  </sheetViews>
  <sheetFormatPr defaultColWidth="12.7109375" defaultRowHeight="15.75" customHeight="1" x14ac:dyDescent="0.2"/>
  <sheetData>
    <row r="1" spans="1:4" x14ac:dyDescent="0.2">
      <c r="A1" s="5" t="s">
        <v>27</v>
      </c>
      <c r="D1" s="5" t="s">
        <v>28</v>
      </c>
    </row>
    <row r="4" spans="1:4" x14ac:dyDescent="0.2">
      <c r="A4" s="5" t="s">
        <v>29</v>
      </c>
    </row>
    <row r="6" spans="1:4" x14ac:dyDescent="0.2">
      <c r="A6" s="5" t="s">
        <v>26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21"/>
  <sheetViews>
    <sheetView showGridLines="0" workbookViewId="0">
      <selection activeCell="F23" sqref="F23"/>
    </sheetView>
  </sheetViews>
  <sheetFormatPr defaultColWidth="12.7109375" defaultRowHeight="15.75" customHeight="1" x14ac:dyDescent="0.2"/>
  <cols>
    <col min="1" max="1" width="15.28515625" bestFit="1" customWidth="1"/>
  </cols>
  <sheetData>
    <row r="1" spans="2:3" x14ac:dyDescent="0.2">
      <c r="B1" s="6" t="s">
        <v>30</v>
      </c>
      <c r="C1" s="6" t="s">
        <v>31</v>
      </c>
    </row>
    <row r="2" spans="2:3" x14ac:dyDescent="0.2">
      <c r="B2" s="6">
        <v>0</v>
      </c>
      <c r="C2" s="6">
        <f t="shared" ref="C2:C17" ca="1" si="0">COS(B2)+RAND()*100</f>
        <v>89.554902526714741</v>
      </c>
    </row>
    <row r="3" spans="2:3" x14ac:dyDescent="0.2">
      <c r="B3" s="6">
        <f t="shared" ref="B3:B17" si="1">B2+100</f>
        <v>100</v>
      </c>
      <c r="C3" s="6">
        <f t="shared" ca="1" si="0"/>
        <v>9.8296921876965051</v>
      </c>
    </row>
    <row r="4" spans="2:3" x14ac:dyDescent="0.2">
      <c r="B4" s="6">
        <f t="shared" si="1"/>
        <v>200</v>
      </c>
      <c r="C4" s="6">
        <f t="shared" ca="1" si="0"/>
        <v>100.35091933259505</v>
      </c>
    </row>
    <row r="5" spans="2:3" x14ac:dyDescent="0.2">
      <c r="B5" s="6">
        <f t="shared" si="1"/>
        <v>300</v>
      </c>
      <c r="C5" s="6">
        <f t="shared" ca="1" si="0"/>
        <v>0.22921934633963109</v>
      </c>
    </row>
    <row r="6" spans="2:3" x14ac:dyDescent="0.2">
      <c r="B6" s="6">
        <f t="shared" si="1"/>
        <v>400</v>
      </c>
      <c r="C6" s="6">
        <f t="shared" ca="1" si="0"/>
        <v>95.393347730945905</v>
      </c>
    </row>
    <row r="7" spans="2:3" x14ac:dyDescent="0.2">
      <c r="B7" s="6">
        <f t="shared" si="1"/>
        <v>500</v>
      </c>
      <c r="C7" s="6">
        <f t="shared" ca="1" si="0"/>
        <v>40.691741826326179</v>
      </c>
    </row>
    <row r="8" spans="2:3" x14ac:dyDescent="0.2">
      <c r="B8" s="6">
        <f t="shared" si="1"/>
        <v>600</v>
      </c>
      <c r="C8" s="6">
        <f t="shared" ca="1" si="0"/>
        <v>52.557724753235007</v>
      </c>
    </row>
    <row r="9" spans="2:3" x14ac:dyDescent="0.2">
      <c r="B9" s="6">
        <f t="shared" si="1"/>
        <v>700</v>
      </c>
      <c r="C9" s="6">
        <f t="shared" ca="1" si="0"/>
        <v>47.076763834543186</v>
      </c>
    </row>
    <row r="10" spans="2:3" x14ac:dyDescent="0.2">
      <c r="B10" s="6">
        <f t="shared" si="1"/>
        <v>800</v>
      </c>
      <c r="C10" s="6">
        <f t="shared" ca="1" si="0"/>
        <v>92.591712220640844</v>
      </c>
    </row>
    <row r="11" spans="2:3" x14ac:dyDescent="0.2">
      <c r="B11" s="6">
        <f t="shared" si="1"/>
        <v>900</v>
      </c>
      <c r="C11" s="6">
        <f t="shared" ca="1" si="0"/>
        <v>55.537482608513507</v>
      </c>
    </row>
    <row r="12" spans="2:3" x14ac:dyDescent="0.2">
      <c r="B12" s="6">
        <f t="shared" si="1"/>
        <v>1000</v>
      </c>
      <c r="C12" s="6">
        <f t="shared" ca="1" si="0"/>
        <v>56.421237983093206</v>
      </c>
    </row>
    <row r="13" spans="2:3" x14ac:dyDescent="0.2">
      <c r="B13" s="6">
        <f t="shared" si="1"/>
        <v>1100</v>
      </c>
      <c r="C13" s="6">
        <f t="shared" ca="1" si="0"/>
        <v>47.326081732460565</v>
      </c>
    </row>
    <row r="14" spans="2:3" x14ac:dyDescent="0.2">
      <c r="B14" s="6">
        <f t="shared" si="1"/>
        <v>1200</v>
      </c>
      <c r="C14" s="6">
        <f t="shared" ca="1" si="0"/>
        <v>27.230419479259215</v>
      </c>
    </row>
    <row r="15" spans="2:3" x14ac:dyDescent="0.2">
      <c r="B15" s="6">
        <f t="shared" si="1"/>
        <v>1300</v>
      </c>
      <c r="C15" s="6">
        <f t="shared" ca="1" si="0"/>
        <v>83.482637468835435</v>
      </c>
    </row>
    <row r="16" spans="2:3" x14ac:dyDescent="0.2">
      <c r="B16" s="6">
        <f t="shared" si="1"/>
        <v>1400</v>
      </c>
      <c r="C16" s="6">
        <f t="shared" ca="1" si="0"/>
        <v>86.520161414832117</v>
      </c>
    </row>
    <row r="17" spans="1:3" x14ac:dyDescent="0.2">
      <c r="B17" s="6">
        <f t="shared" si="1"/>
        <v>1500</v>
      </c>
      <c r="C17" s="6">
        <f t="shared" ca="1" si="0"/>
        <v>43.772568746027318</v>
      </c>
    </row>
    <row r="18" spans="1:3" x14ac:dyDescent="0.2">
      <c r="B18" s="6"/>
      <c r="C18" s="6"/>
    </row>
    <row r="19" spans="1:3" x14ac:dyDescent="0.2">
      <c r="A19" s="2" t="s">
        <v>32</v>
      </c>
      <c r="B19" s="2" t="s">
        <v>33</v>
      </c>
    </row>
    <row r="20" spans="1:3" x14ac:dyDescent="0.2">
      <c r="A20" s="2" t="s">
        <v>34</v>
      </c>
      <c r="B20" s="2" t="s">
        <v>35</v>
      </c>
    </row>
    <row r="21" spans="1:3" x14ac:dyDescent="0.2">
      <c r="A21" s="2" t="s">
        <v>36</v>
      </c>
      <c r="B21" s="2" t="s">
        <v>37</v>
      </c>
    </row>
  </sheetData>
  <phoneticPr fontId="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"/>
  <sheetViews>
    <sheetView workbookViewId="0"/>
  </sheetViews>
  <sheetFormatPr defaultColWidth="12.7109375" defaultRowHeight="15.75" customHeight="1" x14ac:dyDescent="0.2"/>
  <sheetData>
    <row r="1" spans="1:1" x14ac:dyDescent="0.2">
      <c r="A1" s="2"/>
    </row>
  </sheetData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B18"/>
  <sheetViews>
    <sheetView workbookViewId="0"/>
  </sheetViews>
  <sheetFormatPr defaultColWidth="12.7109375" defaultRowHeight="15.75" customHeight="1" x14ac:dyDescent="0.2"/>
  <sheetData>
    <row r="1" spans="1:2" x14ac:dyDescent="0.2">
      <c r="A1" s="2" t="e">
        <f>ModelSheet=#REF!</f>
        <v>#NAME?</v>
      </c>
      <c r="B1" s="2" t="e">
        <f>ModelSheet=logistic [1]regression!A:Z</f>
        <v>#NAME?</v>
      </c>
    </row>
    <row r="2" spans="1:2" x14ac:dyDescent="0.2">
      <c r="A2" s="2" t="e">
        <f t="shared" ref="A2:B2" si="0">OpenSolver_AdjNum=1</f>
        <v>#NAME?</v>
      </c>
      <c r="B2" s="2" t="e">
        <f t="shared" si="0"/>
        <v>#NAME?</v>
      </c>
    </row>
    <row r="3" spans="1:2" x14ac:dyDescent="0.2">
      <c r="A3" s="2" t="e">
        <f t="shared" ref="A3:B3" si="1">OpenSolver_ChosenSolver=Google</f>
        <v>#NAME?</v>
      </c>
      <c r="B3" s="2" t="e">
        <f t="shared" si="1"/>
        <v>#NAME?</v>
      </c>
    </row>
    <row r="4" spans="1:2" x14ac:dyDescent="0.2">
      <c r="A4" s="2" t="e">
        <f t="shared" ref="A4:B4" si="2">OpenSolver_FastBuild=0</f>
        <v>#NAME?</v>
      </c>
      <c r="B4" s="2" t="e">
        <f t="shared" si="2"/>
        <v>#NAME?</v>
      </c>
    </row>
    <row r="5" spans="1:2" x14ac:dyDescent="0.2">
      <c r="A5" s="2" t="e">
        <f>OpenSolver_LinearityCheck=1</f>
        <v>#NAME?</v>
      </c>
      <c r="B5" s="2" t="e">
        <f>OpenSolver_LinearityCheck=0</f>
        <v>#NAME?</v>
      </c>
    </row>
    <row r="6" spans="1:2" x14ac:dyDescent="0.2">
      <c r="A6" s="2" t="e">
        <f>solver_adj=#REF!</f>
        <v>#NAME?</v>
      </c>
      <c r="B6" s="2" t="e">
        <f>solver_adj=logistic [1]regression!E5:F5</f>
        <v>#NAME?</v>
      </c>
    </row>
    <row r="7" spans="1:2" x14ac:dyDescent="0.2">
      <c r="A7" s="2" t="e">
        <f>solver_lhs1=#REF!</f>
        <v>#NAME?</v>
      </c>
      <c r="B7" s="2" t="e">
        <f>solver_neg=1</f>
        <v>#NAME?</v>
      </c>
    </row>
    <row r="8" spans="1:2" x14ac:dyDescent="0.2">
      <c r="A8" s="2" t="e">
        <f>solver_lhs2=#REF!</f>
        <v>#NAME?</v>
      </c>
      <c r="B8" s="2" t="e">
        <f>solver_num=0</f>
        <v>#NAME?</v>
      </c>
    </row>
    <row r="9" spans="1:2" x14ac:dyDescent="0.2">
      <c r="A9" s="2" t="e">
        <f>solver_neg=1</f>
        <v>#NAME?</v>
      </c>
      <c r="B9" s="2" t="e">
        <f>solver_opt=logistic [1]regression!H16</f>
        <v>#NAME?</v>
      </c>
    </row>
    <row r="10" spans="1:2" x14ac:dyDescent="0.2">
      <c r="A10" s="2" t="e">
        <f>solver_num=2</f>
        <v>#NAME?</v>
      </c>
      <c r="B10" s="2" t="e">
        <f>solver_sho=1</f>
        <v>#NAME?</v>
      </c>
    </row>
    <row r="11" spans="1:2" x14ac:dyDescent="0.2">
      <c r="A11" s="2" t="e">
        <f>solver_opt=#REF!</f>
        <v>#NAME?</v>
      </c>
      <c r="B11" s="2" t="e">
        <f>solver_typ=2</f>
        <v>#NAME?</v>
      </c>
    </row>
    <row r="12" spans="1:2" x14ac:dyDescent="0.2">
      <c r="A12" s="2" t="e">
        <f>solver_rel1=1</f>
        <v>#NAME?</v>
      </c>
      <c r="B12" s="2" t="e">
        <f>solver_val=0</f>
        <v>#NAME?</v>
      </c>
    </row>
    <row r="13" spans="1:2" x14ac:dyDescent="0.2">
      <c r="A13" s="2" t="e">
        <f>solver_rel2=3</f>
        <v>#NAME?</v>
      </c>
    </row>
    <row r="14" spans="1:2" x14ac:dyDescent="0.2">
      <c r="A14" s="2" t="e">
        <f>solver_rhs1=#REF!</f>
        <v>#NAME?</v>
      </c>
    </row>
    <row r="15" spans="1:2" x14ac:dyDescent="0.2">
      <c r="A15" s="2" t="e">
        <f>solver_rhs2=#REF!</f>
        <v>#NAME?</v>
      </c>
    </row>
    <row r="16" spans="1:2" x14ac:dyDescent="0.2">
      <c r="A16" s="2" t="e">
        <f>solver_sho=1</f>
        <v>#NAME?</v>
      </c>
    </row>
    <row r="17" spans="1:1" x14ac:dyDescent="0.2">
      <c r="A17" s="2" t="e">
        <f>solver_typ=1</f>
        <v>#NAME?</v>
      </c>
    </row>
    <row r="18" spans="1:1" x14ac:dyDescent="0.2">
      <c r="A18" s="2" t="e">
        <f>solver_val=0</f>
        <v>#NAME?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crash course</vt:lpstr>
      <vt:lpstr>random distributions</vt:lpstr>
      <vt:lpstr>covarianc_correlation</vt:lpstr>
      <vt:lpstr>linear regression</vt:lpstr>
      <vt:lpstr>__Solver__</vt:lpstr>
      <vt:lpstr>__Solver___conflict482289707</vt:lpstr>
      <vt:lpstr>bias_variance</vt:lpstr>
      <vt:lpstr>__OpenSolverCache__</vt:lpstr>
      <vt:lpstr>__OpenSolver__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ancestor9</dc:creator>
  <cp:lastModifiedBy>조상구</cp:lastModifiedBy>
  <dcterms:created xsi:type="dcterms:W3CDTF">2023-10-24T10:08:00Z</dcterms:created>
  <dcterms:modified xsi:type="dcterms:W3CDTF">2026-04-17T08:58:03Z</dcterms:modified>
</cp:coreProperties>
</file>