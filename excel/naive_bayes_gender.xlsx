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atistics\"/>
    </mc:Choice>
  </mc:AlternateContent>
  <xr:revisionPtr revIDLastSave="0" documentId="8_{0255D059-0B25-4FC9-A1C2-2813E0DFD96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_학습데이터" sheetId="1" r:id="rId1"/>
    <sheet name="2_통계량" sheetId="2" r:id="rId2"/>
    <sheet name="3_예측" sheetId="3" r:id="rId3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1" i="1" l="1"/>
  <c r="O10" i="1"/>
  <c r="O9" i="1"/>
  <c r="N11" i="1"/>
  <c r="N10" i="1"/>
  <c r="N9" i="1"/>
  <c r="M11" i="1"/>
  <c r="M10" i="1"/>
  <c r="M9" i="1"/>
  <c r="L10" i="1"/>
  <c r="L9" i="1"/>
  <c r="K10" i="1"/>
  <c r="K9" i="1"/>
  <c r="I10" i="1"/>
  <c r="J10" i="1"/>
  <c r="H10" i="1"/>
  <c r="I9" i="1"/>
  <c r="J9" i="1"/>
  <c r="H9" i="1"/>
  <c r="L5" i="1"/>
  <c r="L3" i="1"/>
  <c r="I6" i="1"/>
  <c r="J6" i="1"/>
  <c r="H6" i="1"/>
  <c r="I5" i="1"/>
  <c r="J5" i="1"/>
  <c r="H5" i="1"/>
  <c r="I4" i="1"/>
  <c r="J4" i="1"/>
  <c r="H4" i="1"/>
  <c r="J3" i="1"/>
  <c r="I3" i="1"/>
  <c r="H3" i="1"/>
  <c r="K5" i="1"/>
  <c r="K3" i="1"/>
  <c r="C3" i="2" l="1"/>
  <c r="D10" i="3"/>
  <c r="C10" i="3"/>
  <c r="E6" i="2"/>
  <c r="D6" i="2"/>
  <c r="C6" i="2"/>
  <c r="B10" i="3" s="1"/>
  <c r="G5" i="2"/>
  <c r="F5" i="2"/>
  <c r="E10" i="3" s="1"/>
  <c r="E5" i="2"/>
  <c r="D5" i="2"/>
  <c r="C5" i="2"/>
  <c r="E4" i="2"/>
  <c r="D9" i="3" s="1"/>
  <c r="D4" i="2"/>
  <c r="C9" i="3" s="1"/>
  <c r="C4" i="2"/>
  <c r="B9" i="3" s="1"/>
  <c r="G3" i="2"/>
  <c r="F3" i="2"/>
  <c r="E9" i="3" s="1"/>
  <c r="E3" i="2"/>
  <c r="D3" i="2"/>
  <c r="B15" i="3" l="1"/>
  <c r="B14" i="3"/>
  <c r="C14" i="3" l="1"/>
  <c r="C15" i="3"/>
  <c r="B19" i="3" l="1"/>
  <c r="C19" i="3"/>
</calcChain>
</file>

<file path=xl/sharedStrings.xml><?xml version="1.0" encoding="utf-8"?>
<sst xmlns="http://schemas.openxmlformats.org/spreadsheetml/2006/main" count="78" uniqueCount="41">
  <si>
    <t>나이브 베이즈 성별 분류기 — 학습 데이터</t>
  </si>
  <si>
    <t>성별</t>
  </si>
  <si>
    <t>키 (피트)</t>
  </si>
  <si>
    <t>몸무게 (lbs)</t>
  </si>
  <si>
    <t>발 크기 (인치)</t>
  </si>
  <si>
    <t>남성</t>
  </si>
  <si>
    <t>여성</t>
  </si>
  <si>
    <t>클래스별 통계량 (평균 &amp; 분산) — 정규분포 가정</t>
  </si>
  <si>
    <t>클래스</t>
  </si>
  <si>
    <t>통계</t>
  </si>
  <si>
    <t>사전확률 P(C)</t>
  </si>
  <si>
    <t>샘플수</t>
  </si>
  <si>
    <t>평균 (μ)</t>
  </si>
  <si>
    <t>분산 (σ²)</t>
  </si>
  <si>
    <t>성별 예측 — 노란색 셀에 값을 입력하세요</t>
  </si>
  <si>
    <r>
      <rPr>
        <b/>
        <sz val="11"/>
        <color rgb="FFFFFFFF"/>
        <rFont val="Arial"/>
        <family val="2"/>
      </rPr>
      <t xml:space="preserve">▶ STEP 1: </t>
    </r>
    <r>
      <rPr>
        <b/>
        <sz val="11"/>
        <color rgb="FFFFFFFF"/>
        <rFont val="Noto Sans CJK SC"/>
        <family val="2"/>
      </rPr>
      <t>예측할 사람의 수치 입력</t>
    </r>
  </si>
  <si>
    <t>입력값</t>
  </si>
  <si>
    <t>← 여기 값을 바꿔보세요!</t>
  </si>
  <si>
    <r>
      <rPr>
        <b/>
        <sz val="11"/>
        <color rgb="FFFFFFFF"/>
        <rFont val="Arial"/>
        <family val="2"/>
      </rPr>
      <t xml:space="preserve">▶ STEP 2: </t>
    </r>
    <r>
      <rPr>
        <b/>
        <sz val="11"/>
        <color rgb="FFFFFFFF"/>
        <rFont val="Noto Sans CJK SC"/>
        <family val="2"/>
      </rPr>
      <t xml:space="preserve">정규분포 확률밀도 </t>
    </r>
    <r>
      <rPr>
        <b/>
        <sz val="11"/>
        <color rgb="FFFFFFFF"/>
        <rFont val="Arial"/>
        <family val="2"/>
      </rPr>
      <t>P(</t>
    </r>
    <r>
      <rPr>
        <b/>
        <sz val="11"/>
        <color rgb="FFFFFFFF"/>
        <rFont val="Noto Sans CJK SC"/>
        <family val="2"/>
      </rPr>
      <t>특징</t>
    </r>
    <r>
      <rPr>
        <b/>
        <sz val="11"/>
        <color rgb="FFFFFFFF"/>
        <rFont val="Arial"/>
        <family val="2"/>
      </rPr>
      <t>|</t>
    </r>
    <r>
      <rPr>
        <b/>
        <sz val="11"/>
        <color rgb="FFFFFFFF"/>
        <rFont val="Noto Sans CJK SC"/>
        <family val="2"/>
      </rPr>
      <t>성별</t>
    </r>
    <r>
      <rPr>
        <b/>
        <sz val="11"/>
        <color rgb="FFFFFFFF"/>
        <rFont val="Arial"/>
        <family val="2"/>
      </rPr>
      <t xml:space="preserve">) </t>
    </r>
    <r>
      <rPr>
        <b/>
        <sz val="11"/>
        <color rgb="FFFFFFFF"/>
        <rFont val="Noto Sans CJK SC"/>
        <family val="2"/>
      </rPr>
      <t>계산</t>
    </r>
  </si>
  <si>
    <t>공식: P(x|C) = (1/√(2π·σ²)) · exp(−(x−μ)²/(2σ²))    ← 가우시안 확률밀도함수 (Google Sheets / Excel 모두 호환)</t>
  </si>
  <si>
    <r>
      <rPr>
        <b/>
        <sz val="11"/>
        <color rgb="FFFFFFFF"/>
        <rFont val="Arial"/>
        <family val="2"/>
      </rPr>
      <t>P(</t>
    </r>
    <r>
      <rPr>
        <b/>
        <sz val="11"/>
        <color rgb="FFFFFFFF"/>
        <rFont val="Noto Sans CJK SC"/>
        <family val="2"/>
      </rPr>
      <t>키</t>
    </r>
    <r>
      <rPr>
        <b/>
        <sz val="11"/>
        <color rgb="FFFFFFFF"/>
        <rFont val="Arial"/>
        <family val="2"/>
      </rPr>
      <t>|C)</t>
    </r>
  </si>
  <si>
    <r>
      <rPr>
        <b/>
        <sz val="11"/>
        <color rgb="FFFFFFFF"/>
        <rFont val="Arial"/>
        <family val="2"/>
      </rPr>
      <t>P(</t>
    </r>
    <r>
      <rPr>
        <b/>
        <sz val="11"/>
        <color rgb="FFFFFFFF"/>
        <rFont val="Noto Sans CJK SC"/>
        <family val="2"/>
      </rPr>
      <t>몸무게</t>
    </r>
    <r>
      <rPr>
        <b/>
        <sz val="11"/>
        <color rgb="FFFFFFFF"/>
        <rFont val="Arial"/>
        <family val="2"/>
      </rPr>
      <t>|C)</t>
    </r>
  </si>
  <si>
    <r>
      <rPr>
        <b/>
        <sz val="11"/>
        <color rgb="FFFFFFFF"/>
        <rFont val="Arial"/>
        <family val="2"/>
      </rPr>
      <t>P(</t>
    </r>
    <r>
      <rPr>
        <b/>
        <sz val="11"/>
        <color rgb="FFFFFFFF"/>
        <rFont val="Noto Sans CJK SC"/>
        <family val="2"/>
      </rPr>
      <t>발크기</t>
    </r>
    <r>
      <rPr>
        <b/>
        <sz val="11"/>
        <color rgb="FFFFFFFF"/>
        <rFont val="Arial"/>
        <family val="2"/>
      </rPr>
      <t>|C)</t>
    </r>
  </si>
  <si>
    <r>
      <rPr>
        <b/>
        <sz val="11"/>
        <color rgb="FFFFFFFF"/>
        <rFont val="Arial"/>
        <family val="2"/>
      </rPr>
      <t xml:space="preserve">▶ STEP 3: </t>
    </r>
    <r>
      <rPr>
        <b/>
        <sz val="11"/>
        <color rgb="FFFFFFFF"/>
        <rFont val="Noto Sans CJK SC"/>
        <family val="2"/>
      </rPr>
      <t xml:space="preserve">베이즈 정리 — 사후확률 </t>
    </r>
    <r>
      <rPr>
        <b/>
        <sz val="11"/>
        <color rgb="FFFFFFFF"/>
        <rFont val="Arial"/>
        <family val="2"/>
      </rPr>
      <t>P(C|X) ∝ P(C) × P(</t>
    </r>
    <r>
      <rPr>
        <b/>
        <sz val="11"/>
        <color rgb="FFFFFFFF"/>
        <rFont val="Noto Sans CJK SC"/>
        <family val="2"/>
      </rPr>
      <t>키</t>
    </r>
    <r>
      <rPr>
        <b/>
        <sz val="11"/>
        <color rgb="FFFFFFFF"/>
        <rFont val="Arial"/>
        <family val="2"/>
      </rPr>
      <t>|C) × P(</t>
    </r>
    <r>
      <rPr>
        <b/>
        <sz val="11"/>
        <color rgb="FFFFFFFF"/>
        <rFont val="Noto Sans CJK SC"/>
        <family val="2"/>
      </rPr>
      <t>몸무게</t>
    </r>
    <r>
      <rPr>
        <b/>
        <sz val="11"/>
        <color rgb="FFFFFFFF"/>
        <rFont val="Arial"/>
        <family val="2"/>
      </rPr>
      <t>|C) × P(</t>
    </r>
    <r>
      <rPr>
        <b/>
        <sz val="11"/>
        <color rgb="FFFFFFFF"/>
        <rFont val="Noto Sans CJK SC"/>
        <family val="2"/>
      </rPr>
      <t>발</t>
    </r>
    <r>
      <rPr>
        <b/>
        <sz val="11"/>
        <color rgb="FFFFFFFF"/>
        <rFont val="Arial"/>
        <family val="2"/>
      </rPr>
      <t>|C)</t>
    </r>
  </si>
  <si>
    <t>비정규화 사후확률</t>
  </si>
  <si>
    <t>정규화 사후확률</t>
  </si>
  <si>
    <r>
      <rPr>
        <b/>
        <sz val="12"/>
        <color rgb="FFFFFFFF"/>
        <rFont val="Arial"/>
        <family val="2"/>
      </rPr>
      <t xml:space="preserve">▶ STEP 4: </t>
    </r>
    <r>
      <rPr>
        <b/>
        <sz val="12"/>
        <color rgb="FFFFFFFF"/>
        <rFont val="Noto Sans CJK SC"/>
        <family val="2"/>
      </rPr>
      <t>최종 예측 결과</t>
    </r>
  </si>
  <si>
    <t>예측 성별</t>
  </si>
  <si>
    <t>결과</t>
  </si>
  <si>
    <t>신뢰도 (정규화 확률)</t>
  </si>
  <si>
    <t>예측</t>
  </si>
  <si>
    <t>※ 나이브 베이즈 가정: 키·몸무게·발 크기가 서로 독립. 데이터가 적을수록 결과 신뢰도 주의.</t>
  </si>
  <si>
    <t>New data</t>
    <phoneticPr fontId="16" type="noConversion"/>
  </si>
  <si>
    <t>남성</t>
    <phoneticPr fontId="16" type="noConversion"/>
  </si>
  <si>
    <t>여성</t>
    <phoneticPr fontId="16" type="noConversion"/>
  </si>
  <si>
    <t>조건부동시확률</t>
    <phoneticPr fontId="16" type="noConversion"/>
  </si>
  <si>
    <t>사전확률</t>
    <phoneticPr fontId="16" type="noConversion"/>
  </si>
  <si>
    <t>사후확률</t>
    <phoneticPr fontId="16" type="noConversion"/>
  </si>
  <si>
    <t>분류예측</t>
    <phoneticPr fontId="16" type="noConversion"/>
  </si>
  <si>
    <t>Softmax</t>
    <phoneticPr fontId="16" type="noConversion"/>
  </si>
  <si>
    <t>Exponential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</si>
</sst>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"/>
    <numFmt numFmtId="177" formatCode="0.000000000"/>
    <numFmt numFmtId="180" formatCode="0.000"/>
    <numFmt numFmtId="182" formatCode="0.0000000"/>
  </numFmts>
  <fonts count="20">
    <font>
      <sz val="11"/>
      <color theme="1"/>
      <name val="Calibri"/>
      <family val="2"/>
      <charset val="1"/>
    </font>
    <font>
      <b/>
      <sz val="13"/>
      <color rgb="FFFFFFFF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b/>
      <sz val="11"/>
      <color rgb="FF000000"/>
      <name val="Noto Sans CJK SC"/>
      <family val="2"/>
      <charset val="1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b/>
      <sz val="12"/>
      <color rgb="FFC0392B"/>
      <name val="Arial"/>
      <family val="2"/>
    </font>
    <font>
      <i/>
      <sz val="10"/>
      <color rgb="FFE74C3C"/>
      <name val="Noto Sans CJK SC"/>
      <family val="2"/>
      <charset val="1"/>
    </font>
    <font>
      <i/>
      <sz val="10"/>
      <color rgb="FF2C3E50"/>
      <name val="Noto Sans CJK SC"/>
      <family val="2"/>
      <charset val="1"/>
    </font>
    <font>
      <b/>
      <sz val="12"/>
      <color rgb="FFFFFFFF"/>
      <name val="Arial"/>
      <family val="2"/>
    </font>
    <font>
      <b/>
      <sz val="12"/>
      <color rgb="FFFFFFFF"/>
      <name val="Noto Sans CJK SC"/>
      <family val="2"/>
    </font>
    <font>
      <b/>
      <sz val="14"/>
      <name val="Noto Sans CJK SC"/>
      <family val="2"/>
      <charset val="1"/>
    </font>
    <font>
      <b/>
      <sz val="14"/>
      <name val="Arial"/>
      <family val="2"/>
    </font>
    <font>
      <i/>
      <sz val="9"/>
      <color rgb="FF7F8C8D"/>
      <name val="Noto Sans CJK SC"/>
      <family val="2"/>
      <charset val="1"/>
    </font>
    <font>
      <sz val="8"/>
      <name val="돋움"/>
      <family val="3"/>
      <charset val="129"/>
    </font>
    <font>
      <b/>
      <sz val="11"/>
      <color theme="0"/>
      <name val="Calibri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2E4053"/>
        <bgColor rgb="FF2C3E50"/>
      </patternFill>
    </fill>
    <fill>
      <patternFill patternType="solid">
        <fgColor rgb="FF5D6D7E"/>
        <bgColor rgb="FF7F8C8D"/>
      </patternFill>
    </fill>
    <fill>
      <patternFill patternType="solid">
        <fgColor rgb="FFD6EAF8"/>
        <bgColor rgb="FFD5F5E3"/>
      </patternFill>
    </fill>
    <fill>
      <patternFill patternType="solid">
        <fgColor rgb="FFFDEDEC"/>
        <bgColor rgb="FFFEF9E7"/>
      </patternFill>
    </fill>
    <fill>
      <patternFill patternType="solid">
        <fgColor rgb="FFFDFEFE"/>
        <bgColor rgb="FFFFFFFF"/>
      </patternFill>
    </fill>
    <fill>
      <patternFill patternType="solid">
        <fgColor rgb="FFFEF9E7"/>
        <bgColor rgb="FFFDFEFE"/>
      </patternFill>
    </fill>
    <fill>
      <patternFill patternType="solid">
        <fgColor rgb="FFEBF5FB"/>
        <bgColor rgb="FFFDFEFE"/>
      </patternFill>
    </fill>
    <fill>
      <patternFill patternType="solid">
        <fgColor rgb="FFD5F5E3"/>
        <bgColor rgb="FFD6EAF8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5" fillId="0" borderId="0" xfId="0" applyFont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76" fontId="5" fillId="4" borderId="2" xfId="0" applyNumberFormat="1" applyFont="1" applyFill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176" fontId="5" fillId="5" borderId="2" xfId="0" applyNumberFormat="1" applyFont="1" applyFill="1" applyBorder="1" applyAlignment="1">
      <alignment horizontal="center" vertical="center"/>
    </xf>
    <xf numFmtId="10" fontId="5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177" fontId="5" fillId="4" borderId="2" xfId="0" applyNumberFormat="1" applyFont="1" applyFill="1" applyBorder="1" applyAlignment="1">
      <alignment horizontal="center" vertical="center"/>
    </xf>
    <xf numFmtId="177" fontId="5" fillId="5" borderId="2" xfId="0" applyNumberFormat="1" applyFont="1" applyFill="1" applyBorder="1" applyAlignment="1">
      <alignment horizontal="center" vertical="center"/>
    </xf>
    <xf numFmtId="11" fontId="5" fillId="4" borderId="2" xfId="0" applyNumberFormat="1" applyFont="1" applyFill="1" applyBorder="1" applyAlignment="1">
      <alignment horizontal="center" vertical="center"/>
    </xf>
    <xf numFmtId="11" fontId="5" fillId="5" borderId="2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10" fontId="14" fillId="9" borderId="2" xfId="0" applyNumberFormat="1" applyFont="1" applyFill="1" applyBorder="1" applyAlignment="1">
      <alignment horizontal="center" vertical="center"/>
    </xf>
    <xf numFmtId="180" fontId="5" fillId="4" borderId="2" xfId="0" applyNumberFormat="1" applyFont="1" applyFill="1" applyBorder="1" applyAlignment="1">
      <alignment horizontal="center" vertical="center"/>
    </xf>
    <xf numFmtId="180" fontId="5" fillId="5" borderId="2" xfId="0" applyNumberFormat="1" applyFont="1" applyFill="1" applyBorder="1" applyAlignment="1">
      <alignment horizontal="center" vertical="center"/>
    </xf>
    <xf numFmtId="0" fontId="17" fillId="10" borderId="0" xfId="0" applyFont="1" applyFill="1"/>
    <xf numFmtId="182" fontId="3" fillId="4" borderId="2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18" fillId="0" borderId="3" xfId="0" applyFont="1" applyBorder="1"/>
    <xf numFmtId="0" fontId="19" fillId="0" borderId="4" xfId="0" applyFont="1" applyBorder="1"/>
    <xf numFmtId="182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993366"/>
      <rgbColor rgb="FFFEF9E7"/>
      <rgbColor rgb="FFD6EAF8"/>
      <rgbColor rgb="FF660066"/>
      <rgbColor rgb="FFFF8080"/>
      <rgbColor rgb="FF0066CC"/>
      <rgbColor rgb="FFFDFE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74C3C"/>
      <rgbColor rgb="FF5D6D7E"/>
      <rgbColor rgb="FFAAAAAA"/>
      <rgbColor rgb="FF003366"/>
      <rgbColor rgb="FF339966"/>
      <rgbColor rgb="FF003300"/>
      <rgbColor rgb="FF333300"/>
      <rgbColor rgb="FFC0392B"/>
      <rgbColor rgb="FF993366"/>
      <rgbColor rgb="FF2E4053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480060</xdr:colOff>
      <xdr:row>13</xdr:row>
      <xdr:rowOff>160020</xdr:rowOff>
    </xdr:from>
    <xdr:to>
      <xdr:col>8</xdr:col>
      <xdr:colOff>822960</xdr:colOff>
      <xdr:row>17</xdr:row>
      <xdr:rowOff>86348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0F2E46B-BCA0-BD73-F07A-54916DA77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9180" y="2788920"/>
          <a:ext cx="3025140" cy="657848"/>
        </a:xfrm>
        <a:prstGeom prst="rect">
          <a:avLst/>
        </a:prstGeom>
      </xdr:spPr>
    </xdr:pic>
    <xdr:clientData/>
  </xdr:twoCellAnchor>
  <xdr:twoCellAnchor editAs="oneCell">
    <xdr:from>
      <xdr:col>4</xdr:col>
      <xdr:colOff>502920</xdr:colOff>
      <xdr:row>17</xdr:row>
      <xdr:rowOff>106680</xdr:rowOff>
    </xdr:from>
    <xdr:to>
      <xdr:col>9</xdr:col>
      <xdr:colOff>220980</xdr:colOff>
      <xdr:row>21</xdr:row>
      <xdr:rowOff>152922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8D56D44-0A9D-A68A-43FD-C6E50DE9D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2040" y="3467100"/>
          <a:ext cx="3329940" cy="777762"/>
        </a:xfrm>
        <a:prstGeom prst="rect">
          <a:avLst/>
        </a:prstGeom>
      </xdr:spPr>
    </xdr:pic>
    <xdr:clientData/>
  </xdr:twoCellAnchor>
  <xdr:twoCellAnchor editAs="oneCell">
    <xdr:from>
      <xdr:col>4</xdr:col>
      <xdr:colOff>502920</xdr:colOff>
      <xdr:row>22</xdr:row>
      <xdr:rowOff>91440</xdr:rowOff>
    </xdr:from>
    <xdr:to>
      <xdr:col>9</xdr:col>
      <xdr:colOff>83820</xdr:colOff>
      <xdr:row>28</xdr:row>
      <xdr:rowOff>44599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DA2E858-AD95-6C6C-99A6-4EC633719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2040" y="4366260"/>
          <a:ext cx="3192780" cy="1050439"/>
        </a:xfrm>
        <a:prstGeom prst="rect">
          <a:avLst/>
        </a:prstGeom>
      </xdr:spPr>
    </xdr:pic>
    <xdr:clientData/>
  </xdr:twoCellAnchor>
  <xdr:twoCellAnchor editAs="oneCell">
    <xdr:from>
      <xdr:col>9</xdr:col>
      <xdr:colOff>556260</xdr:colOff>
      <xdr:row>13</xdr:row>
      <xdr:rowOff>99061</xdr:rowOff>
    </xdr:from>
    <xdr:to>
      <xdr:col>16</xdr:col>
      <xdr:colOff>68580</xdr:colOff>
      <xdr:row>23</xdr:row>
      <xdr:rowOff>107609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47E9CD8-6AC6-761F-C626-3E477C673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57260" y="2727961"/>
          <a:ext cx="5227320" cy="1837348"/>
        </a:xfrm>
        <a:prstGeom prst="rect">
          <a:avLst/>
        </a:prstGeom>
      </xdr:spPr>
    </xdr:pic>
    <xdr:clientData/>
  </xdr:twoCellAnchor>
  <xdr:twoCellAnchor editAs="oneCell">
    <xdr:from>
      <xdr:col>15</xdr:col>
      <xdr:colOff>571501</xdr:colOff>
      <xdr:row>7</xdr:row>
      <xdr:rowOff>152400</xdr:rowOff>
    </xdr:from>
    <xdr:to>
      <xdr:col>22</xdr:col>
      <xdr:colOff>30647</xdr:colOff>
      <xdr:row>9</xdr:row>
      <xdr:rowOff>15240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D76DC13-0067-2A30-103A-1CDB770A4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418821" y="1661160"/>
          <a:ext cx="3619666" cy="243840"/>
        </a:xfrm>
        <a:prstGeom prst="rect">
          <a:avLst/>
        </a:prstGeom>
      </xdr:spPr>
    </xdr:pic>
    <xdr:clientData/>
  </xdr:twoCellAnchor>
  <xdr:twoCellAnchor editAs="oneCell">
    <xdr:from>
      <xdr:col>16</xdr:col>
      <xdr:colOff>7621</xdr:colOff>
      <xdr:row>9</xdr:row>
      <xdr:rowOff>0</xdr:rowOff>
    </xdr:from>
    <xdr:to>
      <xdr:col>22</xdr:col>
      <xdr:colOff>327660</xdr:colOff>
      <xdr:row>10</xdr:row>
      <xdr:rowOff>22903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16BFA0D-FD0D-86AB-C6A9-CC33AF3C8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49301" y="1889760"/>
          <a:ext cx="3886199" cy="213403"/>
        </a:xfrm>
        <a:prstGeom prst="rect">
          <a:avLst/>
        </a:prstGeom>
      </xdr:spPr>
    </xdr:pic>
    <xdr:clientData/>
  </xdr:twoCellAnchor>
  <xdr:twoCellAnchor>
    <xdr:from>
      <xdr:col>0</xdr:col>
      <xdr:colOff>586740</xdr:colOff>
      <xdr:row>12</xdr:row>
      <xdr:rowOff>45720</xdr:rowOff>
    </xdr:from>
    <xdr:to>
      <xdr:col>3</xdr:col>
      <xdr:colOff>1089660</xdr:colOff>
      <xdr:row>23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80C5797-4F54-1E9A-69F0-BAA3C304304F}"/>
            </a:ext>
          </a:extLst>
        </xdr:cNvPr>
        <xdr:cNvSpPr txBox="1"/>
      </xdr:nvSpPr>
      <xdr:spPr>
        <a:xfrm>
          <a:off x="586740" y="2537460"/>
          <a:ext cx="3657600" cy="198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정규분포를 가정하여 조건부확률로 성별을 예측하라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구글시트로 계산하여 계산식을 만들고 임의의 수자를 넣어 성별을 예측하라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라고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claude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에게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prompting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한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 시트를 직접 검증하여 만든 것임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https://en.wikipedia.org/wiki/Naive_Bayes_classifier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 있는 데이터와 산술식과 검증완료</a:t>
          </a:r>
        </a:p>
        <a:p>
          <a:br>
            <a:rPr lang="ko-KR" altLang="en-US"/>
          </a:b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showGridLines="0" tabSelected="1" zoomScaleNormal="100" workbookViewId="0">
      <selection activeCell="F12" sqref="F12"/>
    </sheetView>
  </sheetViews>
  <sheetFormatPr defaultColWidth="8.6640625" defaultRowHeight="14.4"/>
  <cols>
    <col min="1" max="2" width="14" customWidth="1"/>
    <col min="3" max="4" width="18" customWidth="1"/>
    <col min="6" max="6" width="7.5546875" bestFit="1" customWidth="1"/>
    <col min="7" max="7" width="9.33203125" bestFit="1" customWidth="1"/>
    <col min="8" max="9" width="13.5546875" bestFit="1" customWidth="1"/>
    <col min="10" max="10" width="14.44140625" bestFit="1" customWidth="1"/>
    <col min="11" max="11" width="16.109375" bestFit="1" customWidth="1"/>
    <col min="12" max="12" width="9.5546875" bestFit="1" customWidth="1"/>
    <col min="13" max="13" width="12.77734375" bestFit="1" customWidth="1"/>
    <col min="14" max="14" width="11.5546875" bestFit="1" customWidth="1"/>
    <col min="15" max="15" width="10.21875" bestFit="1" customWidth="1"/>
  </cols>
  <sheetData>
    <row r="1" spans="1:15" ht="27.75" customHeight="1">
      <c r="A1" s="7" t="s">
        <v>0</v>
      </c>
      <c r="B1" s="7"/>
      <c r="C1" s="7"/>
      <c r="D1" s="7"/>
      <c r="F1" s="7" t="s">
        <v>7</v>
      </c>
      <c r="G1" s="7"/>
      <c r="H1" s="7"/>
      <c r="I1" s="7"/>
      <c r="J1" s="7"/>
      <c r="K1" s="7"/>
      <c r="L1" s="7"/>
    </row>
    <row r="2" spans="1:15" ht="16.5" customHeight="1">
      <c r="A2" s="8" t="s">
        <v>1</v>
      </c>
      <c r="B2" s="8" t="s">
        <v>2</v>
      </c>
      <c r="C2" s="8" t="s">
        <v>3</v>
      </c>
      <c r="D2" s="8" t="s">
        <v>4</v>
      </c>
      <c r="F2" s="8" t="s">
        <v>8</v>
      </c>
      <c r="G2" s="8" t="s">
        <v>9</v>
      </c>
      <c r="H2" s="8" t="s">
        <v>2</v>
      </c>
      <c r="I2" s="8" t="s">
        <v>3</v>
      </c>
      <c r="J2" s="8" t="s">
        <v>4</v>
      </c>
      <c r="K2" s="8" t="s">
        <v>10</v>
      </c>
      <c r="L2" s="8" t="s">
        <v>11</v>
      </c>
    </row>
    <row r="3" spans="1:15" ht="15" customHeight="1">
      <c r="A3" s="9" t="s">
        <v>5</v>
      </c>
      <c r="B3" s="9">
        <v>6</v>
      </c>
      <c r="C3" s="9">
        <v>180</v>
      </c>
      <c r="D3" s="9">
        <v>12</v>
      </c>
      <c r="F3" s="6" t="s">
        <v>5</v>
      </c>
      <c r="G3" s="9" t="s">
        <v>12</v>
      </c>
      <c r="H3" s="25">
        <f>AVERAGE(B3:B6)</f>
        <v>5.8550000000000004</v>
      </c>
      <c r="I3" s="25">
        <f>AVERAGE(C3:C6)</f>
        <v>176.25</v>
      </c>
      <c r="J3" s="25">
        <f>AVERAGE(D3:D6)</f>
        <v>11.25</v>
      </c>
      <c r="K3" s="12">
        <f>COUNTIF('1_학습데이터'!F3:F10,"남성")/COUNTA('1_학습데이터'!F3:F10)</f>
        <v>0.5</v>
      </c>
      <c r="L3" s="9">
        <f>COUNTIF(A3:B6,"남성")</f>
        <v>4</v>
      </c>
    </row>
    <row r="4" spans="1:15" ht="15" customHeight="1">
      <c r="A4" s="9" t="s">
        <v>5</v>
      </c>
      <c r="B4" s="9">
        <v>5.92</v>
      </c>
      <c r="C4" s="9">
        <v>190</v>
      </c>
      <c r="D4" s="9">
        <v>11</v>
      </c>
      <c r="F4" s="6"/>
      <c r="G4" s="9" t="s">
        <v>13</v>
      </c>
      <c r="H4" s="25">
        <f>VAR(B3:B6)</f>
        <v>3.5033333333333312E-2</v>
      </c>
      <c r="I4" s="25">
        <f t="shared" ref="I4:J4" si="0">VAR(C3:C6)</f>
        <v>122.91666666666667</v>
      </c>
      <c r="J4" s="25">
        <f t="shared" si="0"/>
        <v>0.91666666666666663</v>
      </c>
      <c r="K4" s="12"/>
      <c r="L4" s="9"/>
    </row>
    <row r="5" spans="1:15" ht="15" customHeight="1">
      <c r="A5" s="9" t="s">
        <v>5</v>
      </c>
      <c r="B5" s="9">
        <v>5.58</v>
      </c>
      <c r="C5" s="9">
        <v>170</v>
      </c>
      <c r="D5" s="9">
        <v>12</v>
      </c>
      <c r="F5" s="5" t="s">
        <v>6</v>
      </c>
      <c r="G5" s="10" t="s">
        <v>12</v>
      </c>
      <c r="H5" s="26">
        <f>AVERAGE(B7:B10)</f>
        <v>5.4175000000000004</v>
      </c>
      <c r="I5" s="26">
        <f t="shared" ref="I5:J5" si="1">AVERAGE(C7:C10)</f>
        <v>132.5</v>
      </c>
      <c r="J5" s="26">
        <f t="shared" si="1"/>
        <v>7.5</v>
      </c>
      <c r="K5" s="14">
        <f>COUNTIF('1_학습데이터'!F3:F10,"여성")/COUNTA('1_학습데이터'!F3:F10)</f>
        <v>0.5</v>
      </c>
      <c r="L5" s="10">
        <f>COUNTIF(A7:B10,"여성")</f>
        <v>4</v>
      </c>
    </row>
    <row r="6" spans="1:15" ht="15" customHeight="1">
      <c r="A6" s="9" t="s">
        <v>5</v>
      </c>
      <c r="B6" s="9">
        <v>5.92</v>
      </c>
      <c r="C6" s="9">
        <v>165</v>
      </c>
      <c r="D6" s="9">
        <v>10</v>
      </c>
      <c r="F6" s="5"/>
      <c r="G6" s="10" t="s">
        <v>13</v>
      </c>
      <c r="H6" s="26">
        <f>VAR(B7:B10)</f>
        <v>9.7225000000000006E-2</v>
      </c>
      <c r="I6" s="26">
        <f t="shared" ref="I6:J6" si="2">VAR(C7:C10)</f>
        <v>558.33333333333337</v>
      </c>
      <c r="J6" s="26">
        <f t="shared" si="2"/>
        <v>1.6666666666666667</v>
      </c>
      <c r="K6" s="14"/>
      <c r="L6" s="10"/>
    </row>
    <row r="7" spans="1:15" ht="15" customHeight="1">
      <c r="A7" s="10" t="s">
        <v>6</v>
      </c>
      <c r="B7" s="10">
        <v>5</v>
      </c>
      <c r="C7" s="10">
        <v>100</v>
      </c>
      <c r="D7" s="10">
        <v>6</v>
      </c>
    </row>
    <row r="8" spans="1:15" ht="15" customHeight="1">
      <c r="A8" s="10" t="s">
        <v>6</v>
      </c>
      <c r="B8" s="10">
        <v>5.5</v>
      </c>
      <c r="C8" s="10">
        <v>150</v>
      </c>
      <c r="D8" s="10">
        <v>8</v>
      </c>
      <c r="G8" s="27" t="s">
        <v>32</v>
      </c>
      <c r="H8" s="27">
        <v>6</v>
      </c>
      <c r="I8" s="27">
        <v>130</v>
      </c>
      <c r="J8" s="27">
        <v>8</v>
      </c>
      <c r="K8" s="27" t="s">
        <v>35</v>
      </c>
      <c r="L8" s="27" t="s">
        <v>36</v>
      </c>
      <c r="M8" s="27" t="s">
        <v>37</v>
      </c>
      <c r="N8" s="27" t="s">
        <v>40</v>
      </c>
      <c r="O8" s="27" t="s">
        <v>39</v>
      </c>
    </row>
    <row r="9" spans="1:15" ht="15" customHeight="1">
      <c r="A9" s="10" t="s">
        <v>6</v>
      </c>
      <c r="B9" s="10">
        <v>5.42</v>
      </c>
      <c r="C9" s="10">
        <v>130</v>
      </c>
      <c r="D9" s="10">
        <v>7</v>
      </c>
      <c r="F9" s="9" t="s">
        <v>33</v>
      </c>
      <c r="H9" s="28">
        <f>_xlfn.NORM.DIST(H$8, H3, SQRT(H4), 0)</f>
        <v>1.5788831832641039</v>
      </c>
      <c r="I9" s="28">
        <f t="shared" ref="I9:J10" si="3">_xlfn.NORM.DIST(I$8, I3, SQRT(I4), 0)</f>
        <v>5.9867430248121411E-6</v>
      </c>
      <c r="J9" s="28">
        <f t="shared" si="3"/>
        <v>1.3112210442223476E-3</v>
      </c>
      <c r="K9">
        <f>H9*I9*J9</f>
        <v>1.239414368775618E-8</v>
      </c>
      <c r="L9" s="29">
        <f>K3</f>
        <v>0.5</v>
      </c>
      <c r="M9">
        <f>K9*L9</f>
        <v>6.1970718438780898E-9</v>
      </c>
      <c r="N9" s="32">
        <f>EXP(M9)</f>
        <v>1.000000006197072</v>
      </c>
      <c r="O9" s="32">
        <f>N9/N11</f>
        <v>0.49986555382291753</v>
      </c>
    </row>
    <row r="10" spans="1:15" ht="15" customHeight="1" thickBot="1">
      <c r="A10" s="10" t="s">
        <v>6</v>
      </c>
      <c r="B10" s="10">
        <v>5.75</v>
      </c>
      <c r="C10" s="10">
        <v>150</v>
      </c>
      <c r="D10" s="10">
        <v>9</v>
      </c>
      <c r="F10" s="10" t="s">
        <v>34</v>
      </c>
      <c r="H10" s="28">
        <f>_xlfn.NORM.DIST(H$8, H5, SQRT(H6), 0)</f>
        <v>0.22345872684481599</v>
      </c>
      <c r="I10" s="28">
        <f t="shared" ref="I10:J10" si="4">_xlfn.NORM.DIST(I$8, I5, SQRT(I6), 0)</f>
        <v>1.6789297889908364E-2</v>
      </c>
      <c r="J10" s="28">
        <f t="shared" si="4"/>
        <v>0.28669069989101897</v>
      </c>
      <c r="K10">
        <f>H10*I10*J10</f>
        <v>1.0755818367260048E-3</v>
      </c>
      <c r="L10" s="29">
        <f>K5</f>
        <v>0.5</v>
      </c>
      <c r="M10">
        <f>K10*L10</f>
        <v>5.3779091836300241E-4</v>
      </c>
      <c r="N10" s="32">
        <f>EXP(M10)</f>
        <v>1.0005379355538258</v>
      </c>
      <c r="O10" s="32">
        <f>N10/N11</f>
        <v>0.50013444617708247</v>
      </c>
    </row>
    <row r="11" spans="1:15" ht="18" thickBot="1">
      <c r="L11" s="30" t="s">
        <v>38</v>
      </c>
      <c r="M11" s="31" t="str">
        <f>IF(M9&gt;M10,"남성 👨","여성 👩")</f>
        <v>여성 👩</v>
      </c>
      <c r="N11" s="32">
        <f>SUM(N9:N10)</f>
        <v>2.0005379417508977</v>
      </c>
      <c r="O11" s="32">
        <f>SUM(O9:O10)</f>
        <v>1</v>
      </c>
    </row>
  </sheetData>
  <mergeCells count="4">
    <mergeCell ref="A1:D1"/>
    <mergeCell ref="F1:L1"/>
    <mergeCell ref="F3:F4"/>
    <mergeCell ref="F5:F6"/>
  </mergeCells>
  <phoneticPr fontId="16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zoomScaleNormal="100" workbookViewId="0">
      <selection activeCell="D9" sqref="D9"/>
    </sheetView>
  </sheetViews>
  <sheetFormatPr defaultColWidth="8.6640625" defaultRowHeight="14.4"/>
  <cols>
    <col min="1" max="1" width="12" customWidth="1"/>
    <col min="2" max="2" width="14" customWidth="1"/>
    <col min="3" max="3" width="16" customWidth="1"/>
    <col min="4" max="4" width="18" customWidth="1"/>
    <col min="5" max="5" width="20" customWidth="1"/>
    <col min="6" max="6" width="18" customWidth="1"/>
    <col min="7" max="7" width="12" customWidth="1"/>
  </cols>
  <sheetData>
    <row r="1" spans="1:7" ht="27.75" customHeight="1">
      <c r="A1" s="7" t="s">
        <v>7</v>
      </c>
      <c r="B1" s="7"/>
      <c r="C1" s="7"/>
      <c r="D1" s="7"/>
      <c r="E1" s="7"/>
      <c r="F1" s="7"/>
      <c r="G1" s="7"/>
    </row>
    <row r="2" spans="1:7" ht="16.5" customHeight="1">
      <c r="A2" s="8" t="s">
        <v>8</v>
      </c>
      <c r="B2" s="8" t="s">
        <v>9</v>
      </c>
      <c r="C2" s="8" t="s">
        <v>2</v>
      </c>
      <c r="D2" s="8" t="s">
        <v>3</v>
      </c>
      <c r="E2" s="8" t="s">
        <v>4</v>
      </c>
      <c r="F2" s="8" t="s">
        <v>10</v>
      </c>
      <c r="G2" s="8" t="s">
        <v>11</v>
      </c>
    </row>
    <row r="3" spans="1:7" ht="16.5" customHeight="1">
      <c r="A3" s="6" t="s">
        <v>5</v>
      </c>
      <c r="B3" s="9" t="s">
        <v>12</v>
      </c>
      <c r="C3" s="11">
        <f>AVERAGE('1_학습데이터'!B3:B6)</f>
        <v>5.8550000000000004</v>
      </c>
      <c r="D3" s="11">
        <f>AVERAGE('1_학습데이터'!C3:C6)</f>
        <v>176.25</v>
      </c>
      <c r="E3" s="11">
        <f>AVERAGE('1_학습데이터'!D3:D6)</f>
        <v>11.25</v>
      </c>
      <c r="F3" s="12">
        <f>COUNTIF('1_학습데이터'!A3:A10,"남성")/COUNTA('1_학습데이터'!A3:A10)</f>
        <v>0.5</v>
      </c>
      <c r="G3" s="9">
        <f>COUNTIF('1_학습데이터'!A3:A10,"남성")</f>
        <v>4</v>
      </c>
    </row>
    <row r="4" spans="1:7" ht="16.5" customHeight="1">
      <c r="A4" s="6"/>
      <c r="B4" s="9" t="s">
        <v>13</v>
      </c>
      <c r="C4" s="11">
        <f>VAR('1_학습데이터'!B3:B6)</f>
        <v>3.5033333333333312E-2</v>
      </c>
      <c r="D4" s="11">
        <f>VAR('1_학습데이터'!C3:C6)</f>
        <v>122.91666666666667</v>
      </c>
      <c r="E4" s="11">
        <f>VAR('1_학습데이터'!D3:D6)</f>
        <v>0.91666666666666663</v>
      </c>
      <c r="F4" s="12"/>
      <c r="G4" s="9"/>
    </row>
    <row r="5" spans="1:7" ht="16.5" customHeight="1">
      <c r="A5" s="5" t="s">
        <v>6</v>
      </c>
      <c r="B5" s="10" t="s">
        <v>12</v>
      </c>
      <c r="C5" s="13">
        <f>AVERAGE('1_학습데이터'!B7:B10)</f>
        <v>5.4175000000000004</v>
      </c>
      <c r="D5" s="13">
        <f>AVERAGE('1_학습데이터'!C7:C10)</f>
        <v>132.5</v>
      </c>
      <c r="E5" s="13">
        <f>AVERAGE('1_학습데이터'!D7:D10)</f>
        <v>7.5</v>
      </c>
      <c r="F5" s="14">
        <f>COUNTIF('1_학습데이터'!A3:A10,"여성")/COUNTA('1_학습데이터'!A3:A10)</f>
        <v>0.5</v>
      </c>
      <c r="G5" s="10">
        <f>COUNTIF('1_학습데이터'!A3:A10,"여성")</f>
        <v>4</v>
      </c>
    </row>
    <row r="6" spans="1:7" ht="16.5" customHeight="1">
      <c r="A6" s="5"/>
      <c r="B6" s="10" t="s">
        <v>13</v>
      </c>
      <c r="C6" s="13">
        <f>VAR('1_학습데이터'!B7:B10)</f>
        <v>9.7225000000000006E-2</v>
      </c>
      <c r="D6" s="13">
        <f>VAR('1_학습데이터'!C7:C10)</f>
        <v>558.33333333333337</v>
      </c>
      <c r="E6" s="13">
        <f>VAR('1_학습데이터'!D7:D10)</f>
        <v>1.6666666666666667</v>
      </c>
      <c r="F6" s="14"/>
      <c r="G6" s="10"/>
    </row>
  </sheetData>
  <mergeCells count="3">
    <mergeCell ref="A1:G1"/>
    <mergeCell ref="A3:A4"/>
    <mergeCell ref="A5:A6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opLeftCell="A10" zoomScaleNormal="100" workbookViewId="0">
      <selection activeCell="C24" sqref="B24:C34"/>
    </sheetView>
  </sheetViews>
  <sheetFormatPr defaultColWidth="8.6640625" defaultRowHeight="14.4"/>
  <cols>
    <col min="1" max="1" width="14" customWidth="1"/>
    <col min="2" max="2" width="22" customWidth="1"/>
    <col min="3" max="3" width="24" customWidth="1"/>
    <col min="4" max="4" width="22" customWidth="1"/>
    <col min="5" max="5" width="20" customWidth="1"/>
  </cols>
  <sheetData>
    <row r="1" spans="1:5" ht="27.75" customHeight="1">
      <c r="A1" s="7" t="s">
        <v>14</v>
      </c>
      <c r="B1" s="7"/>
      <c r="C1" s="7"/>
      <c r="D1" s="7"/>
      <c r="E1" s="7"/>
    </row>
    <row r="2" spans="1:5" ht="16.5" customHeight="1">
      <c r="A2" s="4" t="s">
        <v>15</v>
      </c>
      <c r="B2" s="4"/>
      <c r="C2" s="4"/>
      <c r="D2" s="4"/>
      <c r="E2" s="4"/>
    </row>
    <row r="3" spans="1:5" ht="16.5" customHeight="1">
      <c r="A3" s="8"/>
      <c r="B3" s="8" t="s">
        <v>2</v>
      </c>
      <c r="C3" s="8" t="s">
        <v>3</v>
      </c>
      <c r="D3" s="8" t="s">
        <v>4</v>
      </c>
      <c r="E3" s="8"/>
    </row>
    <row r="4" spans="1:5" ht="15" customHeight="1">
      <c r="A4" s="15" t="s">
        <v>16</v>
      </c>
      <c r="B4" s="16">
        <v>5.5</v>
      </c>
      <c r="C4" s="16">
        <v>150</v>
      </c>
      <c r="D4" s="16">
        <v>8</v>
      </c>
      <c r="E4" s="17" t="s">
        <v>17</v>
      </c>
    </row>
    <row r="6" spans="1:5" ht="16.5" customHeight="1">
      <c r="A6" s="4" t="s">
        <v>18</v>
      </c>
      <c r="B6" s="4"/>
      <c r="C6" s="4"/>
      <c r="D6" s="4"/>
      <c r="E6" s="4"/>
    </row>
    <row r="7" spans="1:5" ht="15" customHeight="1">
      <c r="A7" s="3" t="s">
        <v>19</v>
      </c>
      <c r="B7" s="3"/>
      <c r="C7" s="3"/>
      <c r="D7" s="3"/>
      <c r="E7" s="3"/>
    </row>
    <row r="8" spans="1:5" ht="16.5" customHeight="1">
      <c r="A8" s="8" t="s">
        <v>8</v>
      </c>
      <c r="B8" s="18" t="s">
        <v>20</v>
      </c>
      <c r="C8" s="18" t="s">
        <v>21</v>
      </c>
      <c r="D8" s="18" t="s">
        <v>22</v>
      </c>
      <c r="E8" s="8" t="s">
        <v>10</v>
      </c>
    </row>
    <row r="9" spans="1:5" ht="15" customHeight="1">
      <c r="A9" s="9" t="s">
        <v>5</v>
      </c>
      <c r="B9" s="19">
        <f>(1/SQRT(2*PI()*'2_통계량'!C4))*EXP(-(B4-'2_통계량'!C3)^2/(2*'2_통계량'!C4))</f>
        <v>12.87687748645377</v>
      </c>
      <c r="C9" s="19">
        <f>(1/SQRT(2*PI()*'2_통계량'!D4))*EXP(-(C4-'2_통계량'!D3)^2/(2*'2_통계량'!D4))</f>
        <v>0.5934954442697602</v>
      </c>
      <c r="D9" s="19">
        <f>(1/SQRT(2*PI()*'2_통계량'!E4))*EXP(-(D4-'2_통계량'!E3)^2/(2*'2_통계량'!E4))</f>
        <v>132.41365751953717</v>
      </c>
      <c r="E9" s="12">
        <f>'2_통계량'!F3</f>
        <v>0.5</v>
      </c>
    </row>
    <row r="10" spans="1:5" ht="15" customHeight="1">
      <c r="A10" s="10" t="s">
        <v>6</v>
      </c>
      <c r="B10" s="20">
        <f>(1/SQRT(2*PI()*'2_통계량'!C6))*EXP(-(B4-'2_통계량'!C5)^2/(2*'2_통계량'!C6))</f>
        <v>1.3250202437463348</v>
      </c>
      <c r="C10" s="20">
        <f>(1/SQRT(2*PI()*'2_통계량'!D6))*EXP(-(C4-'2_통계량'!D5)^2/(2*'2_통계량'!D6))</f>
        <v>2.2211105228612037E-2</v>
      </c>
      <c r="D10" s="20">
        <f>(1/SQRT(2*PI()*'2_통계량'!E6))*EXP(-(D4-'2_통계량'!E5)^2/(2*'2_통계량'!E6))</f>
        <v>0.33308707220512351</v>
      </c>
      <c r="E10" s="14">
        <f>'2_통계량'!F5</f>
        <v>0.5</v>
      </c>
    </row>
    <row r="12" spans="1:5" ht="16.5" customHeight="1">
      <c r="A12" s="4" t="s">
        <v>23</v>
      </c>
      <c r="B12" s="4"/>
      <c r="C12" s="4"/>
      <c r="D12" s="4"/>
      <c r="E12" s="4"/>
    </row>
    <row r="13" spans="1:5" ht="15" customHeight="1">
      <c r="A13" s="8" t="s">
        <v>8</v>
      </c>
      <c r="B13" s="8" t="s">
        <v>24</v>
      </c>
      <c r="C13" s="8" t="s">
        <v>25</v>
      </c>
      <c r="D13" s="8"/>
      <c r="E13" s="8"/>
    </row>
    <row r="14" spans="1:5" ht="15" customHeight="1">
      <c r="A14" s="9" t="s">
        <v>5</v>
      </c>
      <c r="B14" s="21">
        <f>E9*B9*C9*D9</f>
        <v>505.97695774650236</v>
      </c>
      <c r="C14" s="12">
        <f>B14/(B14+B15)</f>
        <v>0.99999031308434749</v>
      </c>
    </row>
    <row r="15" spans="1:5" ht="15" customHeight="1">
      <c r="A15" s="10" t="s">
        <v>6</v>
      </c>
      <c r="B15" s="22">
        <f>E10*B10*C10*D10</f>
        <v>4.901403591278948E-3</v>
      </c>
      <c r="C15" s="14">
        <f>B15/(B14+B15)</f>
        <v>9.6869156524937855E-6</v>
      </c>
    </row>
    <row r="17" spans="1:5" ht="24" customHeight="1">
      <c r="A17" s="2" t="s">
        <v>26</v>
      </c>
      <c r="B17" s="2"/>
      <c r="C17" s="2"/>
      <c r="D17" s="2"/>
      <c r="E17" s="2"/>
    </row>
    <row r="18" spans="1:5" ht="16.5" customHeight="1">
      <c r="A18" s="8" t="s">
        <v>27</v>
      </c>
      <c r="B18" s="8" t="s">
        <v>28</v>
      </c>
      <c r="C18" s="8" t="s">
        <v>29</v>
      </c>
      <c r="D18" s="8"/>
      <c r="E18" s="8"/>
    </row>
    <row r="19" spans="1:5" ht="31.5" customHeight="1">
      <c r="A19" s="23" t="s">
        <v>30</v>
      </c>
      <c r="B19" s="23" t="str">
        <f>IF(C14&gt;C15,"남성 👨","여성 👩")</f>
        <v>남성 👨</v>
      </c>
      <c r="C19" s="24">
        <f>MAX(C14,C15)</f>
        <v>0.99999031308434749</v>
      </c>
    </row>
    <row r="21" spans="1:5" ht="13.5" customHeight="1">
      <c r="A21" s="1" t="s">
        <v>31</v>
      </c>
      <c r="B21" s="1"/>
      <c r="C21" s="1"/>
      <c r="D21" s="1"/>
      <c r="E21" s="1"/>
    </row>
  </sheetData>
  <mergeCells count="7">
    <mergeCell ref="A17:E17"/>
    <mergeCell ref="A21:E21"/>
    <mergeCell ref="A1:E1"/>
    <mergeCell ref="A2:E2"/>
    <mergeCell ref="A6:E6"/>
    <mergeCell ref="A7:E7"/>
    <mergeCell ref="A12:E12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1_학습데이터</vt:lpstr>
      <vt:lpstr>2_통계량</vt:lpstr>
      <vt:lpstr>3_예측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Sanggoo Cho</cp:lastModifiedBy>
  <cp:revision>0</cp:revision>
  <dcterms:created xsi:type="dcterms:W3CDTF">2026-03-27T12:57:19Z</dcterms:created>
  <dcterms:modified xsi:type="dcterms:W3CDTF">2026-03-27T13:36:15Z</dcterms:modified>
  <dc:language>en-US</dc:language>
</cp:coreProperties>
</file>